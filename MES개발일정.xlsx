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E:\MES개발일정\"/>
    </mc:Choice>
  </mc:AlternateContent>
  <xr:revisionPtr revIDLastSave="0" documentId="13_ncr:1_{89B33B0C-CA0F-46FA-A4C5-3B4EA2584EB6}" xr6:coauthVersionLast="47" xr6:coauthVersionMax="47" xr10:uidLastSave="{00000000-0000-0000-0000-000000000000}"/>
  <bookViews>
    <workbookView xWindow="-120" yWindow="-120" windowWidth="38640" windowHeight="21240" activeTab="3" xr2:uid="{2D2733F6-F373-4731-B21A-7C336F1ACFD4}"/>
  </bookViews>
  <sheets>
    <sheet name="1안" sheetId="5" r:id="rId1"/>
    <sheet name="2안" sheetId="7" r:id="rId2"/>
    <sheet name="3안" sheetId="8" r:id="rId3"/>
    <sheet name="기존_MES_화면목록(1안)" sheetId="11" r:id="rId4"/>
    <sheet name="기존_MES_화면목록(2안)" sheetId="13" r:id="rId5"/>
    <sheet name="개발환경및설정" sheetId="12" r:id="rId6"/>
    <sheet name="기존_MES_화면목록_임시" sheetId="10" r:id="rId7"/>
    <sheet name="기존_MES_타입1_2" sheetId="4" r:id="rId8"/>
    <sheet name="기존_MES_개발환경" sheetId="3" r:id="rId9"/>
    <sheet name="기존_MES_타입1_2_현장" sheetId="9" r:id="rId10"/>
    <sheet name="개발 구매" sheetId="1" r:id="rId11"/>
    <sheet name="개발일정" sheetId="2" r:id="rId12"/>
  </sheets>
  <definedNames>
    <definedName name="_xlnm.Print_Area" localSheetId="0">'1안'!$A$1:$F$33</definedName>
    <definedName name="_xlnm.Print_Area" localSheetId="1">'2안'!$A$1:$F$32</definedName>
    <definedName name="_xlnm.Print_Area" localSheetId="2">'3안'!$A$1:$F$36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1" i="12" l="1"/>
  <c r="H121" i="13"/>
  <c r="H106" i="12"/>
  <c r="H106" i="13"/>
  <c r="G122" i="12"/>
  <c r="G122" i="13"/>
  <c r="G121" i="12"/>
  <c r="G121" i="13"/>
  <c r="G106" i="12"/>
  <c r="G106" i="13"/>
  <c r="G88" i="12"/>
  <c r="G88" i="13"/>
  <c r="G70" i="12"/>
  <c r="G70" i="13"/>
  <c r="G56" i="12"/>
  <c r="G56" i="13"/>
  <c r="G45" i="12"/>
  <c r="G45" i="13"/>
  <c r="G36" i="12"/>
  <c r="G36" i="13"/>
  <c r="G19" i="12"/>
  <c r="G19" i="13"/>
  <c r="F122" i="13"/>
  <c r="D11" i="5"/>
  <c r="H272" i="11"/>
  <c r="H271" i="11"/>
  <c r="H247" i="11"/>
  <c r="G272" i="11"/>
  <c r="G271" i="11"/>
  <c r="G270" i="11"/>
  <c r="G269" i="11"/>
  <c r="G252" i="11"/>
  <c r="G247" i="11"/>
  <c r="G236" i="11"/>
  <c r="G200" i="11"/>
  <c r="G172" i="11"/>
  <c r="G122" i="11"/>
  <c r="G62" i="11"/>
  <c r="G58" i="11"/>
  <c r="G34" i="11"/>
  <c r="F272" i="11"/>
  <c r="E21" i="8"/>
  <c r="E19" i="7"/>
  <c r="E19" i="5"/>
  <c r="E13" i="2"/>
  <c r="E8" i="2"/>
  <c r="E62" i="4"/>
  <c r="E166" i="4"/>
  <c r="E103" i="4"/>
  <c r="E70" i="4"/>
  <c r="D166" i="4"/>
  <c r="D215" i="4"/>
  <c r="E215" i="4" s="1"/>
  <c r="D103" i="4"/>
  <c r="D70" i="4"/>
  <c r="D62" i="4"/>
  <c r="E218" i="4" l="1"/>
  <c r="D218" i="4"/>
  <c r="H122" i="13" l="1"/>
</calcChain>
</file>

<file path=xl/sharedStrings.xml><?xml version="1.0" encoding="utf-8"?>
<sst xmlns="http://schemas.openxmlformats.org/spreadsheetml/2006/main" count="1258" uniqueCount="719">
  <si>
    <t>비주얼스튜디오 2019 이상(C#.Net)
DevExpress 22.2.3
ASP.Net (MVC)
Crystal Report 2019
.NET Framework 4.5이상
Window 10이상</t>
    <phoneticPr fontId="1" type="noConversion"/>
  </si>
  <si>
    <t>MES/WMS/RWS/LIMS</t>
    <phoneticPr fontId="1" type="noConversion"/>
  </si>
  <si>
    <t>MES POP</t>
    <phoneticPr fontId="1" type="noConversion"/>
  </si>
  <si>
    <t>현장 태블릿</t>
    <phoneticPr fontId="1" type="noConversion"/>
  </si>
  <si>
    <t>영역</t>
    <phoneticPr fontId="1" type="noConversion"/>
  </si>
  <si>
    <t>개발 환경</t>
    <phoneticPr fontId="1" type="noConversion"/>
  </si>
  <si>
    <t>Android Version 11 이상
개발환경 확인 필요함</t>
    <phoneticPr fontId="1" type="noConversion"/>
  </si>
  <si>
    <t>모듈명</t>
    <phoneticPr fontId="1" type="noConversion"/>
  </si>
  <si>
    <t>기능명</t>
    <phoneticPr fontId="1" type="noConversion"/>
  </si>
  <si>
    <t>상세내역</t>
    <phoneticPr fontId="1" type="noConversion"/>
  </si>
  <si>
    <t>시스템설정</t>
    <phoneticPr fontId="1" type="noConversion"/>
  </si>
  <si>
    <t>메뉴등록</t>
    <phoneticPr fontId="1" type="noConversion"/>
  </si>
  <si>
    <t>프로그램등록</t>
    <phoneticPr fontId="1" type="noConversion"/>
  </si>
  <si>
    <t>메뉴구성</t>
    <phoneticPr fontId="1" type="noConversion"/>
  </si>
  <si>
    <t>공통코드관리</t>
    <phoneticPr fontId="1" type="noConversion"/>
  </si>
  <si>
    <t>파라미터관리</t>
    <phoneticPr fontId="1" type="noConversion"/>
  </si>
  <si>
    <t>복합파라미터관리</t>
    <phoneticPr fontId="1" type="noConversion"/>
  </si>
  <si>
    <t>메시지정보</t>
    <phoneticPr fontId="1" type="noConversion"/>
  </si>
  <si>
    <t>테이블명세서관리</t>
    <phoneticPr fontId="1" type="noConversion"/>
  </si>
  <si>
    <t>프로그램업그레이드</t>
    <phoneticPr fontId="1" type="noConversion"/>
  </si>
  <si>
    <t>사용자그룹등록</t>
    <phoneticPr fontId="1" type="noConversion"/>
  </si>
  <si>
    <t>그룹권한설정</t>
    <phoneticPr fontId="1" type="noConversion"/>
  </si>
  <si>
    <t>사용자등록</t>
    <phoneticPr fontId="1" type="noConversion"/>
  </si>
  <si>
    <t>사원/그룹설정</t>
    <phoneticPr fontId="1" type="noConversion"/>
  </si>
  <si>
    <t>프로그램권한설정</t>
    <phoneticPr fontId="1" type="noConversion"/>
  </si>
  <si>
    <t>사용자권한설정</t>
    <phoneticPr fontId="1" type="noConversion"/>
  </si>
  <si>
    <t>전자서명등록</t>
    <phoneticPr fontId="1" type="noConversion"/>
  </si>
  <si>
    <t>전자서명권한설정</t>
    <phoneticPr fontId="1" type="noConversion"/>
  </si>
  <si>
    <t>컴퓨터고유번호관리</t>
    <phoneticPr fontId="1" type="noConversion"/>
  </si>
  <si>
    <t>공휴일등록</t>
    <phoneticPr fontId="1" type="noConversion"/>
  </si>
  <si>
    <t>Calendar관리</t>
    <phoneticPr fontId="1" type="noConversion"/>
  </si>
  <si>
    <t>시스템운영</t>
    <phoneticPr fontId="1" type="noConversion"/>
  </si>
  <si>
    <t>공지사항등록</t>
    <phoneticPr fontId="1" type="noConversion"/>
  </si>
  <si>
    <t>업무스케줄조회</t>
    <phoneticPr fontId="1" type="noConversion"/>
  </si>
  <si>
    <t>Access Log 확인</t>
    <phoneticPr fontId="1" type="noConversion"/>
  </si>
  <si>
    <t>Audit Trail 상세확인</t>
    <phoneticPr fontId="1" type="noConversion"/>
  </si>
  <si>
    <t>시스템보안</t>
    <phoneticPr fontId="1" type="noConversion"/>
  </si>
  <si>
    <t>회사마스터</t>
    <phoneticPr fontId="1" type="noConversion"/>
  </si>
  <si>
    <t>사업장관리</t>
    <phoneticPr fontId="1" type="noConversion"/>
  </si>
  <si>
    <t>부서관리</t>
    <phoneticPr fontId="1" type="noConversion"/>
  </si>
  <si>
    <t>사원관리</t>
    <phoneticPr fontId="1" type="noConversion"/>
  </si>
  <si>
    <t>작업실관리</t>
    <phoneticPr fontId="1" type="noConversion"/>
  </si>
  <si>
    <t>설비관리</t>
    <phoneticPr fontId="1" type="noConversion"/>
  </si>
  <si>
    <t>거래처관리</t>
    <phoneticPr fontId="1" type="noConversion"/>
  </si>
  <si>
    <t>공정관리</t>
    <phoneticPr fontId="1" type="noConversion"/>
  </si>
  <si>
    <t>반제품보관용기관리</t>
    <phoneticPr fontId="1" type="noConversion"/>
  </si>
  <si>
    <t>원료관리</t>
    <phoneticPr fontId="1" type="noConversion"/>
  </si>
  <si>
    <t>자재관리</t>
    <phoneticPr fontId="1" type="noConversion"/>
  </si>
  <si>
    <t>반제품관리</t>
    <phoneticPr fontId="1" type="noConversion"/>
  </si>
  <si>
    <t>포장제품관리</t>
    <phoneticPr fontId="1" type="noConversion"/>
  </si>
  <si>
    <t>품목마스터</t>
    <phoneticPr fontId="1" type="noConversion"/>
  </si>
  <si>
    <t>공정검사마스터</t>
    <phoneticPr fontId="1" type="noConversion"/>
  </si>
  <si>
    <t>제제표준서마스터관리</t>
    <phoneticPr fontId="1" type="noConversion"/>
  </si>
  <si>
    <t>포장표준서마스터관리</t>
    <phoneticPr fontId="1" type="noConversion"/>
  </si>
  <si>
    <t>제조마스터</t>
    <phoneticPr fontId="1" type="noConversion"/>
  </si>
  <si>
    <t>제조(생산)계획대장작성</t>
    <phoneticPr fontId="1" type="noConversion"/>
  </si>
  <si>
    <t>제조지시</t>
    <phoneticPr fontId="1" type="noConversion"/>
  </si>
  <si>
    <t>원료불출지시</t>
    <phoneticPr fontId="1" type="noConversion"/>
  </si>
  <si>
    <t>제조기록서승인</t>
    <phoneticPr fontId="1" type="noConversion"/>
  </si>
  <si>
    <t>공정실적등록</t>
    <phoneticPr fontId="1" type="noConversion"/>
  </si>
  <si>
    <t>반제품보보관실모니터링</t>
    <phoneticPr fontId="1" type="noConversion"/>
  </si>
  <si>
    <t>제조지시별공정실적현황</t>
    <phoneticPr fontId="1" type="noConversion"/>
  </si>
  <si>
    <t>제품별모니터링</t>
    <phoneticPr fontId="1" type="noConversion"/>
  </si>
  <si>
    <t>일일작업일보</t>
    <phoneticPr fontId="1" type="noConversion"/>
  </si>
  <si>
    <t>설비가동실적</t>
    <phoneticPr fontId="1" type="noConversion"/>
  </si>
  <si>
    <t>생산공수현황</t>
    <phoneticPr fontId="1" type="noConversion"/>
  </si>
  <si>
    <t>전자제조기록현황</t>
    <phoneticPr fontId="1" type="noConversion"/>
  </si>
  <si>
    <t>공정검사기록조회</t>
    <phoneticPr fontId="1" type="noConversion"/>
  </si>
  <si>
    <t>칭량기록조회</t>
    <phoneticPr fontId="1" type="noConversion"/>
  </si>
  <si>
    <t>포장지시대장작성</t>
    <phoneticPr fontId="1" type="noConversion"/>
  </si>
  <si>
    <t>자재불출지시</t>
    <phoneticPr fontId="1" type="noConversion"/>
  </si>
  <si>
    <t>포장기록서승인</t>
    <phoneticPr fontId="1" type="noConversion"/>
  </si>
  <si>
    <t>포장실적등록</t>
    <phoneticPr fontId="1" type="noConversion"/>
  </si>
  <si>
    <t>MES 생산관리 시스템 - 공통</t>
    <phoneticPr fontId="1" type="noConversion"/>
  </si>
  <si>
    <t>제조지시관리</t>
    <phoneticPr fontId="1" type="noConversion"/>
  </si>
  <si>
    <t>포장지시관리</t>
    <phoneticPr fontId="1" type="noConversion"/>
  </si>
  <si>
    <t>WIP(현장)</t>
    <phoneticPr fontId="1" type="noConversion"/>
  </si>
  <si>
    <t>일반입고</t>
    <phoneticPr fontId="1" type="noConversion"/>
  </si>
  <si>
    <t>추가입고</t>
    <phoneticPr fontId="1" type="noConversion"/>
  </si>
  <si>
    <t>잔량반납</t>
    <phoneticPr fontId="1" type="noConversion"/>
  </si>
  <si>
    <t>일반출고</t>
    <phoneticPr fontId="1" type="noConversion"/>
  </si>
  <si>
    <t>포장출고</t>
    <phoneticPr fontId="1" type="noConversion"/>
  </si>
  <si>
    <t>MES(현장)</t>
    <phoneticPr fontId="1" type="noConversion"/>
  </si>
  <si>
    <t>MES 생산관리 시스템 - 현장 시스템(MES 현장 POP)</t>
    <phoneticPr fontId="1" type="noConversion"/>
  </si>
  <si>
    <t>MES 생산관리 시스템 - 생산 진행 통합 모니터링</t>
    <phoneticPr fontId="1" type="noConversion"/>
  </si>
  <si>
    <t>작업진행모니터링</t>
    <phoneticPr fontId="1" type="noConversion"/>
  </si>
  <si>
    <t>공정별모니터링</t>
    <phoneticPr fontId="1" type="noConversion"/>
  </si>
  <si>
    <t>작업실적모니터링</t>
    <phoneticPr fontId="1" type="noConversion"/>
  </si>
  <si>
    <t>작업현황(칭량,제조,포장)</t>
    <phoneticPr fontId="1" type="noConversion"/>
  </si>
  <si>
    <t>작업설비별가동현황</t>
    <phoneticPr fontId="1" type="noConversion"/>
  </si>
  <si>
    <t>설비가동현황</t>
    <phoneticPr fontId="1" type="noConversion"/>
  </si>
  <si>
    <t>생산현황모니터링</t>
    <phoneticPr fontId="1" type="noConversion"/>
  </si>
  <si>
    <t>제품별공정별작업진행</t>
    <phoneticPr fontId="1" type="noConversion"/>
  </si>
  <si>
    <t>공정별생산진행현황</t>
    <phoneticPr fontId="1" type="noConversion"/>
  </si>
  <si>
    <t>생산진행현황</t>
    <phoneticPr fontId="1" type="noConversion"/>
  </si>
  <si>
    <t>통합생산모니터링</t>
    <phoneticPr fontId="1" type="noConversion"/>
  </si>
  <si>
    <t>공정작업진행모니터링</t>
    <phoneticPr fontId="1" type="noConversion"/>
  </si>
  <si>
    <t>MES 생산관리 시스템 - 시험관리 시스템(LIMS)</t>
    <phoneticPr fontId="1" type="noConversion"/>
  </si>
  <si>
    <t>LIMS 마스터관리</t>
    <phoneticPr fontId="1" type="noConversion"/>
  </si>
  <si>
    <t>시험관리단계설정</t>
    <phoneticPr fontId="1" type="noConversion"/>
  </si>
  <si>
    <t>시험항목관리</t>
    <phoneticPr fontId="1" type="noConversion"/>
  </si>
  <si>
    <t>시험방법입력</t>
    <phoneticPr fontId="1" type="noConversion"/>
  </si>
  <si>
    <t>시험규격관리</t>
    <phoneticPr fontId="1" type="noConversion"/>
  </si>
  <si>
    <t>보관위치관리</t>
    <phoneticPr fontId="1" type="noConversion"/>
  </si>
  <si>
    <t>시험의뢰</t>
    <phoneticPr fontId="1" type="noConversion"/>
  </si>
  <si>
    <t>시험관리</t>
    <phoneticPr fontId="1" type="noConversion"/>
  </si>
  <si>
    <t>시험지시</t>
    <phoneticPr fontId="1" type="noConversion"/>
  </si>
  <si>
    <t>검체채취입력</t>
    <phoneticPr fontId="1" type="noConversion"/>
  </si>
  <si>
    <t>시험기록서작성</t>
    <phoneticPr fontId="1" type="noConversion"/>
  </si>
  <si>
    <t>시험기록서확인</t>
    <phoneticPr fontId="1" type="noConversion"/>
  </si>
  <si>
    <t>시험기록서승인</t>
    <phoneticPr fontId="1" type="noConversion"/>
  </si>
  <si>
    <t>적/부판정라벨</t>
    <phoneticPr fontId="1" type="noConversion"/>
  </si>
  <si>
    <t>항목별공수확인</t>
    <phoneticPr fontId="1" type="noConversion"/>
  </si>
  <si>
    <t>시험별공수확인</t>
    <phoneticPr fontId="1" type="noConversion"/>
  </si>
  <si>
    <t>시험진행단계</t>
    <phoneticPr fontId="1" type="noConversion"/>
  </si>
  <si>
    <t>시험통계분석</t>
    <phoneticPr fontId="1" type="noConversion"/>
  </si>
  <si>
    <t>시험기록서보관</t>
    <phoneticPr fontId="1" type="noConversion"/>
  </si>
  <si>
    <t>첨부파일관리</t>
    <phoneticPr fontId="1" type="noConversion"/>
  </si>
  <si>
    <t>시험기기사용계획</t>
    <phoneticPr fontId="1" type="noConversion"/>
  </si>
  <si>
    <t>RDMS파일검색/출력</t>
    <phoneticPr fontId="1" type="noConversion"/>
  </si>
  <si>
    <t>제조용수시험스케줄</t>
    <phoneticPr fontId="1" type="noConversion"/>
  </si>
  <si>
    <t>제조용수시험스케줄승인</t>
    <phoneticPr fontId="1" type="noConversion"/>
  </si>
  <si>
    <t>제조용수시험의뢰</t>
    <phoneticPr fontId="1" type="noConversion"/>
  </si>
  <si>
    <t>제조용수시험관리</t>
    <phoneticPr fontId="1" type="noConversion"/>
  </si>
  <si>
    <t>보관검체관리</t>
    <phoneticPr fontId="1" type="noConversion"/>
  </si>
  <si>
    <t>보관검체등록</t>
    <phoneticPr fontId="1" type="noConversion"/>
  </si>
  <si>
    <t>보관검체사용요청</t>
    <phoneticPr fontId="1" type="noConversion"/>
  </si>
  <si>
    <t>보관검체사용승인</t>
    <phoneticPr fontId="1" type="noConversion"/>
  </si>
  <si>
    <t>보관검체반출</t>
    <phoneticPr fontId="1" type="noConversion"/>
  </si>
  <si>
    <t>보관검체환입</t>
    <phoneticPr fontId="1" type="noConversion"/>
  </si>
  <si>
    <t>보관검체폐기</t>
    <phoneticPr fontId="1" type="noConversion"/>
  </si>
  <si>
    <t>안정성시험관리</t>
    <phoneticPr fontId="1" type="noConversion"/>
  </si>
  <si>
    <t>안정성시험등록</t>
    <phoneticPr fontId="1" type="noConversion"/>
  </si>
  <si>
    <t>안정성시험계획</t>
    <phoneticPr fontId="1" type="noConversion"/>
  </si>
  <si>
    <t>안정성시험의뢰</t>
    <phoneticPr fontId="1" type="noConversion"/>
  </si>
  <si>
    <t>안정성시험확인</t>
    <phoneticPr fontId="1" type="noConversion"/>
  </si>
  <si>
    <t>안정성시험분석</t>
    <phoneticPr fontId="1" type="noConversion"/>
  </si>
  <si>
    <t>안정성시험비교</t>
    <phoneticPr fontId="1" type="noConversion"/>
  </si>
  <si>
    <t>표준품관리</t>
    <phoneticPr fontId="1" type="noConversion"/>
  </si>
  <si>
    <t>표준품마스터</t>
    <phoneticPr fontId="1" type="noConversion"/>
  </si>
  <si>
    <t>표준품입고</t>
    <phoneticPr fontId="1" type="noConversion"/>
  </si>
  <si>
    <t>표준품사용</t>
    <phoneticPr fontId="1" type="noConversion"/>
  </si>
  <si>
    <t>표준품폐기</t>
    <phoneticPr fontId="1" type="noConversion"/>
  </si>
  <si>
    <t>시약관리</t>
    <phoneticPr fontId="1" type="noConversion"/>
  </si>
  <si>
    <t>시약마스터</t>
    <phoneticPr fontId="1" type="noConversion"/>
  </si>
  <si>
    <t>시약입고</t>
    <phoneticPr fontId="1" type="noConversion"/>
  </si>
  <si>
    <t>시약사용</t>
    <phoneticPr fontId="1" type="noConversion"/>
  </si>
  <si>
    <t>시약폐기</t>
    <phoneticPr fontId="1" type="noConversion"/>
  </si>
  <si>
    <t>균주관리</t>
    <phoneticPr fontId="1" type="noConversion"/>
  </si>
  <si>
    <t>균주마스터</t>
    <phoneticPr fontId="1" type="noConversion"/>
  </si>
  <si>
    <t>균주입고</t>
    <phoneticPr fontId="1" type="noConversion"/>
  </si>
  <si>
    <t>균주사용</t>
    <phoneticPr fontId="1" type="noConversion"/>
  </si>
  <si>
    <t>균주폐기</t>
    <phoneticPr fontId="1" type="noConversion"/>
  </si>
  <si>
    <t>배지관리</t>
    <phoneticPr fontId="1" type="noConversion"/>
  </si>
  <si>
    <t>배지마스터</t>
    <phoneticPr fontId="1" type="noConversion"/>
  </si>
  <si>
    <t>배지입고</t>
    <phoneticPr fontId="1" type="noConversion"/>
  </si>
  <si>
    <t>배지조제</t>
    <phoneticPr fontId="1" type="noConversion"/>
  </si>
  <si>
    <t>조제배지사용</t>
    <phoneticPr fontId="1" type="noConversion"/>
  </si>
  <si>
    <t>생배지사용</t>
    <phoneticPr fontId="1" type="noConversion"/>
  </si>
  <si>
    <t>배지폐기</t>
    <phoneticPr fontId="1" type="noConversion"/>
  </si>
  <si>
    <t>환경모니터링관리</t>
    <phoneticPr fontId="1" type="noConversion"/>
  </si>
  <si>
    <t>청정도관리</t>
    <phoneticPr fontId="1" type="noConversion"/>
  </si>
  <si>
    <t>균주/배지설정</t>
    <phoneticPr fontId="1" type="noConversion"/>
  </si>
  <si>
    <t>청정도별기준설정</t>
    <phoneticPr fontId="1" type="noConversion"/>
  </si>
  <si>
    <t>환경모니터링포인트설정</t>
    <phoneticPr fontId="1" type="noConversion"/>
  </si>
  <si>
    <t>환경모니터링스케쥴</t>
    <phoneticPr fontId="1" type="noConversion"/>
  </si>
  <si>
    <t>환경모니터링성적서작성</t>
    <phoneticPr fontId="1" type="noConversion"/>
  </si>
  <si>
    <t>환경모니터링판정</t>
    <phoneticPr fontId="1" type="noConversion"/>
  </si>
  <si>
    <t>MES 생산관리 시스템 - QMS 관리</t>
    <phoneticPr fontId="1" type="noConversion"/>
  </si>
  <si>
    <t>문서관리</t>
    <phoneticPr fontId="1" type="noConversion"/>
  </si>
  <si>
    <t>문서체계관리</t>
    <phoneticPr fontId="1" type="noConversion"/>
  </si>
  <si>
    <t>문서등록</t>
    <phoneticPr fontId="1" type="noConversion"/>
  </si>
  <si>
    <t>문서조회</t>
    <phoneticPr fontId="1" type="noConversion"/>
  </si>
  <si>
    <t>배포/폐기관리</t>
    <phoneticPr fontId="1" type="noConversion"/>
  </si>
  <si>
    <t>문서배포확인</t>
    <phoneticPr fontId="1" type="noConversion"/>
  </si>
  <si>
    <t>예방점검관리</t>
    <phoneticPr fontId="1" type="noConversion"/>
  </si>
  <si>
    <t>예방점검대상등록</t>
    <phoneticPr fontId="1" type="noConversion"/>
  </si>
  <si>
    <t>예방점검체크사항작성</t>
    <phoneticPr fontId="1" type="noConversion"/>
  </si>
  <si>
    <t>예방점검스케줄생성</t>
    <phoneticPr fontId="1" type="noConversion"/>
  </si>
  <si>
    <t>점검기록서</t>
    <phoneticPr fontId="1" type="noConversion"/>
  </si>
  <si>
    <t>월간점검표</t>
    <phoneticPr fontId="1" type="noConversion"/>
  </si>
  <si>
    <t>연간일정표</t>
    <phoneticPr fontId="1" type="noConversion"/>
  </si>
  <si>
    <t>점검대장</t>
    <phoneticPr fontId="1" type="noConversion"/>
  </si>
  <si>
    <t>소비자불만처리</t>
    <phoneticPr fontId="1" type="noConversion"/>
  </si>
  <si>
    <t>불만사항등록</t>
    <phoneticPr fontId="1" type="noConversion"/>
  </si>
  <si>
    <t>불만사항정리</t>
    <phoneticPr fontId="1" type="noConversion"/>
  </si>
  <si>
    <t>불만사항조사판정</t>
    <phoneticPr fontId="1" type="noConversion"/>
  </si>
  <si>
    <t>처리결과승인</t>
    <phoneticPr fontId="1" type="noConversion"/>
  </si>
  <si>
    <t>제품별접수통계</t>
    <phoneticPr fontId="1" type="noConversion"/>
  </si>
  <si>
    <t>제형별접수통계</t>
    <phoneticPr fontId="1" type="noConversion"/>
  </si>
  <si>
    <t>구분별접수통계</t>
    <phoneticPr fontId="1" type="noConversion"/>
  </si>
  <si>
    <t>자율점검</t>
    <phoneticPr fontId="1" type="noConversion"/>
  </si>
  <si>
    <t>자율점검체크리스트</t>
    <phoneticPr fontId="1" type="noConversion"/>
  </si>
  <si>
    <t>자율점검계획작성</t>
    <phoneticPr fontId="1" type="noConversion"/>
  </si>
  <si>
    <t>자율점검계획승인</t>
    <phoneticPr fontId="1" type="noConversion"/>
  </si>
  <si>
    <t>자율점검실시</t>
    <phoneticPr fontId="1" type="noConversion"/>
  </si>
  <si>
    <t>자율점검결과</t>
    <phoneticPr fontId="1" type="noConversion"/>
  </si>
  <si>
    <t>자율점검조치계획작성</t>
    <phoneticPr fontId="1" type="noConversion"/>
  </si>
  <si>
    <t>자율점검조치계획승인</t>
    <phoneticPr fontId="1" type="noConversion"/>
  </si>
  <si>
    <t>자율점검조치실시</t>
    <phoneticPr fontId="1" type="noConversion"/>
  </si>
  <si>
    <t>자율점검조치결과</t>
    <phoneticPr fontId="1" type="noConversion"/>
  </si>
  <si>
    <t>일탈관리</t>
    <phoneticPr fontId="1" type="noConversion"/>
  </si>
  <si>
    <t>일탈등록</t>
    <phoneticPr fontId="1" type="noConversion"/>
  </si>
  <si>
    <t>일탈접수</t>
    <phoneticPr fontId="1" type="noConversion"/>
  </si>
  <si>
    <t>조사지시</t>
    <phoneticPr fontId="1" type="noConversion"/>
  </si>
  <si>
    <t>일탈조사</t>
    <phoneticPr fontId="1" type="noConversion"/>
  </si>
  <si>
    <t>일탈처리승인</t>
    <phoneticPr fontId="1" type="noConversion"/>
  </si>
  <si>
    <t>시정및예방조치</t>
    <phoneticPr fontId="1" type="noConversion"/>
  </si>
  <si>
    <t>변경관리</t>
    <phoneticPr fontId="1" type="noConversion"/>
  </si>
  <si>
    <t>변경의뢰</t>
    <phoneticPr fontId="1" type="noConversion"/>
  </si>
  <si>
    <t>변경관리대상설정</t>
    <phoneticPr fontId="1" type="noConversion"/>
  </si>
  <si>
    <t>영향평가항목설정</t>
    <phoneticPr fontId="1" type="noConversion"/>
  </si>
  <si>
    <t>변경검토</t>
    <phoneticPr fontId="1" type="noConversion"/>
  </si>
  <si>
    <t>변경승인</t>
    <phoneticPr fontId="1" type="noConversion"/>
  </si>
  <si>
    <t>변경진행/완료</t>
    <phoneticPr fontId="1" type="noConversion"/>
  </si>
  <si>
    <t>교육관리</t>
    <phoneticPr fontId="1" type="noConversion"/>
  </si>
  <si>
    <t>교육등록</t>
    <phoneticPr fontId="1" type="noConversion"/>
  </si>
  <si>
    <t>교육확인(결과입력)</t>
    <phoneticPr fontId="1" type="noConversion"/>
  </si>
  <si>
    <t>교육평가</t>
    <phoneticPr fontId="1" type="noConversion"/>
  </si>
  <si>
    <t>교육이력조회</t>
    <phoneticPr fontId="1" type="noConversion"/>
  </si>
  <si>
    <t>사원별자격관리</t>
    <phoneticPr fontId="1" type="noConversion"/>
  </si>
  <si>
    <t>메뉴 모듈 조회, 입력, 수정, 삭제 관리</t>
    <phoneticPr fontId="1" type="noConversion"/>
  </si>
  <si>
    <t>프로그램 조회, 입력, 수정, 삭제 관리</t>
    <phoneticPr fontId="1" type="noConversion"/>
  </si>
  <si>
    <t>메뉴 순서 조회, 수정 관리</t>
    <phoneticPr fontId="1" type="noConversion"/>
  </si>
  <si>
    <t>공통코드 조회, 입력, 수정, 삭제 관리</t>
    <phoneticPr fontId="1" type="noConversion"/>
  </si>
  <si>
    <t>파라미터, 값 조회, 입력, 수정, 삭제 관리</t>
    <phoneticPr fontId="1" type="noConversion"/>
  </si>
  <si>
    <t>복합 파라미터 정보 조회, 입력, 수정, 삭제 관리</t>
    <phoneticPr fontId="1" type="noConversion"/>
  </si>
  <si>
    <t>메시지 코드, 메시지명 조회, 입력, 수정, 삭제 관리</t>
    <phoneticPr fontId="1" type="noConversion"/>
  </si>
  <si>
    <t>테이블 리스트, 테이블 주석 조회, 수정 관리</t>
    <phoneticPr fontId="1" type="noConversion"/>
  </si>
  <si>
    <t>프로그램 업그레이드</t>
    <phoneticPr fontId="1" type="noConversion"/>
  </si>
  <si>
    <t>사용자 그룹별 그룹코드, 사용여부 조회, 입력, 수정, 삭제 관리</t>
    <phoneticPr fontId="1" type="noConversion"/>
  </si>
  <si>
    <t>그룹별 프로그램 접근 권한 조회, 수정 관리</t>
    <phoneticPr fontId="1" type="noConversion"/>
  </si>
  <si>
    <t>사용자 등록 정보(사원코드, ID, PW, 사인 등) 조회, 수정, 삭제 관리</t>
    <phoneticPr fontId="1" type="noConversion"/>
  </si>
  <si>
    <t>사원별 그룹 설정 조회, 수정 관리</t>
    <phoneticPr fontId="1" type="noConversion"/>
  </si>
  <si>
    <t>프로그램별 접근 권한 조회</t>
    <phoneticPr fontId="1" type="noConversion"/>
  </si>
  <si>
    <t>사용자별 프로그램 접근 권한 조회, 수정 관리</t>
    <phoneticPr fontId="1" type="noConversion"/>
  </si>
  <si>
    <t>서명 정보 조회, 입력, 수정, 삭제 관리</t>
    <phoneticPr fontId="1" type="noConversion"/>
  </si>
  <si>
    <t>서명 종류별 전자서명 담당자 조회 설정 관리</t>
    <phoneticPr fontId="1" type="noConversion"/>
  </si>
  <si>
    <t>컴퓨터별 위치 정보, 관리정보 조회, 입력, 수정, 삭제 관리</t>
    <phoneticPr fontId="1" type="noConversion"/>
  </si>
  <si>
    <t>회사 기념일, 공휴일 조회, 입력, 수정, 삭제 관리</t>
    <phoneticPr fontId="1" type="noConversion"/>
  </si>
  <si>
    <t>공장별 달력 조회, 입려관리</t>
    <phoneticPr fontId="1" type="noConversion"/>
  </si>
  <si>
    <t>공지사항 조회, 입력, 수정, 삭제 관리</t>
    <phoneticPr fontId="1" type="noConversion"/>
  </si>
  <si>
    <t>신규업무, 마감업무 조회</t>
    <phoneticPr fontId="1" type="noConversion"/>
  </si>
  <si>
    <t>로그인 기록, 프로그램 접속 기록 조회</t>
    <phoneticPr fontId="1" type="noConversion"/>
  </si>
  <si>
    <t>기간별 수정이력, 변경사항(전/후) 조회</t>
    <phoneticPr fontId="1" type="noConversion"/>
  </si>
  <si>
    <t>사업장 정보 조회, 입력, 수정, 삭제 관리</t>
    <phoneticPr fontId="1" type="noConversion"/>
  </si>
  <si>
    <t>부서 정보 조회, 입력, 수정, 삭제 관리</t>
    <phoneticPr fontId="1" type="noConversion"/>
  </si>
  <si>
    <t>사원 정보 조회, 입력, 수정, 삭제 관리</t>
    <phoneticPr fontId="1" type="noConversion"/>
  </si>
  <si>
    <t>작업실 정보 조회, 입력, 수정, 삭제 관리</t>
    <phoneticPr fontId="1" type="noConversion"/>
  </si>
  <si>
    <t>설비 정보 조회, 입력, 수정, 삭제 관리</t>
    <phoneticPr fontId="1" type="noConversion"/>
  </si>
  <si>
    <t>거래처 정보 조회, 입력, 수정, 삭제 관리</t>
    <phoneticPr fontId="1" type="noConversion"/>
  </si>
  <si>
    <t>공정 정보 조회, 입력, 수정, 삭제 관리</t>
    <phoneticPr fontId="1" type="noConversion"/>
  </si>
  <si>
    <t>용기 정보 조회, 입력, 수정, 삭제 관리</t>
    <phoneticPr fontId="1" type="noConversion"/>
  </si>
  <si>
    <t>원료 정보 조회, 입력, 수정, 삭제 관리</t>
    <phoneticPr fontId="1" type="noConversion"/>
  </si>
  <si>
    <t>자재 정보 조회, 입력, 수정, 삭제 관리</t>
    <phoneticPr fontId="1" type="noConversion"/>
  </si>
  <si>
    <t>반제품 정보/허가정보/개정내역 조회, 입력, 수정, 삭제 관리</t>
    <phoneticPr fontId="1" type="noConversion"/>
  </si>
  <si>
    <t>포장제품 정보/허가정보/개정내역 조회, 입력, 수정, 삭제 관리</t>
    <phoneticPr fontId="1" type="noConversion"/>
  </si>
  <si>
    <t>공정검사 항목 등록, 조회, 수정 관리</t>
    <phoneticPr fontId="1" type="noConversion"/>
  </si>
  <si>
    <t>공정검사 설정, 작업 방법 정보 관리</t>
    <phoneticPr fontId="1" type="noConversion"/>
  </si>
  <si>
    <t>제조지시대장 조회, 입력, 수정, 삭제 관리</t>
    <phoneticPr fontId="1" type="noConversion"/>
  </si>
  <si>
    <t>제조지시 정보 조회</t>
    <phoneticPr fontId="1" type="noConversion"/>
  </si>
  <si>
    <t>원료불출 지시 정보 조회</t>
    <phoneticPr fontId="1" type="noConversion"/>
  </si>
  <si>
    <t>원료정보, 승인정보 조회, 수정 관리</t>
    <phoneticPr fontId="1" type="noConversion"/>
  </si>
  <si>
    <t>생산실적, 작업자 실적, 설비실적 조회, 수정 관리</t>
    <phoneticPr fontId="1" type="noConversion"/>
  </si>
  <si>
    <t>반제품 보관실 보관소, 인수인계상태 정보 조회</t>
    <phoneticPr fontId="1" type="noConversion"/>
  </si>
  <si>
    <t>제조지시별 공정 상태 정보 조회</t>
    <phoneticPr fontId="1" type="noConversion"/>
  </si>
  <si>
    <t>제품별 표준공정, 공정진행이력 조회</t>
    <phoneticPr fontId="1" type="noConversion"/>
  </si>
  <si>
    <t>일일 작업 정보, 제품별 정보 현황 조회</t>
    <phoneticPr fontId="1" type="noConversion"/>
  </si>
  <si>
    <t>설비 가동 정보 조회</t>
    <phoneticPr fontId="1" type="noConversion"/>
  </si>
  <si>
    <t>작업자 공수, 설비, 공정수율, 공정진행 현황 조회</t>
    <phoneticPr fontId="1" type="noConversion"/>
  </si>
  <si>
    <t>전자 제조 기록 현황을 조회, 인쇄</t>
    <phoneticPr fontId="1" type="noConversion"/>
  </si>
  <si>
    <t>공정 검사 기록 조회, 인쇄</t>
    <phoneticPr fontId="1" type="noConversion"/>
  </si>
  <si>
    <t>칭량 기록 조회</t>
    <phoneticPr fontId="1" type="noConversion"/>
  </si>
  <si>
    <t>포장 지시 대장 조회, 입력, 수정, 삭제 관리</t>
    <phoneticPr fontId="1" type="noConversion"/>
  </si>
  <si>
    <t>포장지시</t>
    <phoneticPr fontId="1" type="noConversion"/>
  </si>
  <si>
    <t>포장지시 조회</t>
    <phoneticPr fontId="1" type="noConversion"/>
  </si>
  <si>
    <t>포장지시 정보별 불출 정보 조회</t>
    <phoneticPr fontId="1" type="noConversion"/>
  </si>
  <si>
    <t>포장 기록서 조회, 수정</t>
    <phoneticPr fontId="1" type="noConversion"/>
  </si>
  <si>
    <t>팔레트포장 실적등록</t>
    <phoneticPr fontId="1" type="noConversion"/>
  </si>
  <si>
    <t>팔레트 정보 조회, 입력, 수정, 삭제 관리</t>
    <phoneticPr fontId="1" type="noConversion"/>
  </si>
  <si>
    <t>포장 실적 조회, 수정 관리</t>
    <phoneticPr fontId="1" type="noConversion"/>
  </si>
  <si>
    <t xml:space="preserve">반제품 관리 일반입고(입고 정보 조회, 무게 입력, 수량입력, 공정수율 정잔, 시험의뢰 조회, 인원추가 입력, 설비추가 </t>
    <phoneticPr fontId="1" type="noConversion"/>
  </si>
  <si>
    <t>개발1안</t>
    <phoneticPr fontId="1" type="noConversion"/>
  </si>
  <si>
    <t>개발2안</t>
  </si>
  <si>
    <t>건수</t>
    <phoneticPr fontId="1" type="noConversion"/>
  </si>
  <si>
    <t>개발여부</t>
    <phoneticPr fontId="1" type="noConversion"/>
  </si>
  <si>
    <t>구매</t>
    <phoneticPr fontId="1" type="noConversion"/>
  </si>
  <si>
    <t>DevExpress
Crystal Report</t>
    <phoneticPr fontId="1" type="noConversion"/>
  </si>
  <si>
    <t>DevExpress (Universal) : $2,199 / 12개월 구독
SAP Crystal Reports 2020(64bit) : 851,152원</t>
    <phoneticPr fontId="1" type="noConversion"/>
  </si>
  <si>
    <t>전체 건수</t>
    <phoneticPr fontId="1" type="noConversion"/>
  </si>
  <si>
    <t>$2,199 / 12개월 구독</t>
    <phoneticPr fontId="1" type="noConversion"/>
  </si>
  <si>
    <t>DevExpress (Universal)</t>
    <phoneticPr fontId="1" type="noConversion"/>
  </si>
  <si>
    <t>SAP Crystal Reports 2020(64bit)</t>
    <phoneticPr fontId="1" type="noConversion"/>
  </si>
  <si>
    <t>851,152원</t>
    <phoneticPr fontId="1" type="noConversion"/>
  </si>
  <si>
    <t>No</t>
    <phoneticPr fontId="1" type="noConversion"/>
  </si>
  <si>
    <t>항목</t>
    <phoneticPr fontId="1" type="noConversion"/>
  </si>
  <si>
    <t>비용</t>
    <phoneticPr fontId="1" type="noConversion"/>
  </si>
  <si>
    <t>비고</t>
    <phoneticPr fontId="1" type="noConversion"/>
  </si>
  <si>
    <t>기존 개발</t>
    <phoneticPr fontId="1" type="noConversion"/>
  </si>
  <si>
    <t>모니터(27인치)</t>
    <phoneticPr fontId="1" type="noConversion"/>
  </si>
  <si>
    <t>개발</t>
    <phoneticPr fontId="1" type="noConversion"/>
  </si>
  <si>
    <t>개발 서버(DB포함)</t>
    <phoneticPr fontId="1" type="noConversion"/>
  </si>
  <si>
    <t>소프트아이스 보유</t>
    <phoneticPr fontId="1" type="noConversion"/>
  </si>
  <si>
    <t>MS-SQL Server</t>
    <phoneticPr fontId="1" type="noConversion"/>
  </si>
  <si>
    <t>Express 버전</t>
    <phoneticPr fontId="1" type="noConversion"/>
  </si>
  <si>
    <t>개발시 필요, 무료</t>
    <phoneticPr fontId="1" type="noConversion"/>
  </si>
  <si>
    <t>타입1</t>
    <phoneticPr fontId="1" type="noConversion"/>
  </si>
  <si>
    <t>타입2</t>
    <phoneticPr fontId="1" type="noConversion"/>
  </si>
  <si>
    <t>내용</t>
    <phoneticPr fontId="1" type="noConversion"/>
  </si>
  <si>
    <t>디자인 툴 필요
-GUNA</t>
    <phoneticPr fontId="1" type="noConversion"/>
  </si>
  <si>
    <t>Extra $79 / yearly</t>
    <phoneticPr fontId="1" type="noConversion"/>
  </si>
  <si>
    <t>GUNA UI/Chart</t>
    <phoneticPr fontId="1" type="noConversion"/>
  </si>
  <si>
    <t>신규 화면 디자인 개편</t>
    <phoneticPr fontId="1" type="noConversion"/>
  </si>
  <si>
    <t>ASP.Net</t>
    <phoneticPr fontId="1" type="noConversion"/>
  </si>
  <si>
    <t>DevExpress Web</t>
    <phoneticPr fontId="1" type="noConversion"/>
  </si>
  <si>
    <t>SAP Crystal Report</t>
    <phoneticPr fontId="1" type="noConversion"/>
  </si>
  <si>
    <t>화면 디자인 및 구성 변경</t>
    <phoneticPr fontId="1" type="noConversion"/>
  </si>
  <si>
    <t>MVC</t>
    <phoneticPr fontId="1" type="noConversion"/>
  </si>
  <si>
    <t>보고서 변경</t>
    <phoneticPr fontId="1" type="noConversion"/>
  </si>
  <si>
    <t>쿼리 변경</t>
    <phoneticPr fontId="1" type="noConversion"/>
  </si>
  <si>
    <t>.Net Core로 변경</t>
    <phoneticPr fontId="1" type="noConversion"/>
  </si>
  <si>
    <t>신규 보고서 툴 검토</t>
    <phoneticPr fontId="1" type="noConversion"/>
  </si>
  <si>
    <t>소요기간(Working Day)</t>
    <phoneticPr fontId="1" type="noConversion"/>
  </si>
  <si>
    <t>소요기간 합산</t>
    <phoneticPr fontId="1" type="noConversion"/>
  </si>
  <si>
    <t>모니터 암 구매</t>
    <phoneticPr fontId="1" type="noConversion"/>
  </si>
  <si>
    <t>생산관리시스템 - 현장시스템(WIP 현장 POP)</t>
    <phoneticPr fontId="1" type="noConversion"/>
  </si>
  <si>
    <t>1. 개요</t>
    <phoneticPr fontId="1" type="noConversion"/>
  </si>
  <si>
    <t>UI 변경 기획</t>
    <phoneticPr fontId="1" type="noConversion"/>
  </si>
  <si>
    <t>디자인 변경 작업</t>
    <phoneticPr fontId="1" type="noConversion"/>
  </si>
  <si>
    <t>배포</t>
    <phoneticPr fontId="1" type="noConversion"/>
  </si>
  <si>
    <t>합계</t>
    <phoneticPr fontId="1" type="noConversion"/>
  </si>
  <si>
    <t>2안.</t>
    <phoneticPr fontId="1" type="noConversion"/>
  </si>
  <si>
    <t>2. 개발환경</t>
    <phoneticPr fontId="1" type="noConversion"/>
  </si>
  <si>
    <t>항목 상세(메뉴개수)</t>
    <phoneticPr fontId="1" type="noConversion"/>
  </si>
  <si>
    <t>개발예상작업일수</t>
    <phoneticPr fontId="1" type="noConversion"/>
  </si>
  <si>
    <t>3. 개발항목 및 개발예상작업일수</t>
    <phoneticPr fontId="1" type="noConversion"/>
  </si>
  <si>
    <t>&gt;화면 UI, 리포트 툴, 프로시저는 그대로 유지한다.</t>
    <phoneticPr fontId="1" type="noConversion"/>
  </si>
  <si>
    <t>&gt;기존 솔루션의 개발 프레임워크를 유지하고 화면 색상과 폰트 등은 변경하여 외형적으로 다른 모습으로 변경한다.</t>
    <phoneticPr fontId="1" type="noConversion"/>
  </si>
  <si>
    <t>&gt;기존 솔루션의 개발 프레임워크를 .Net Core로 변경하고 화면 색상과 폰트 등도 변경하여 내.외형적으로 다른 모습으로 변경한다.</t>
    <phoneticPr fontId="1" type="noConversion"/>
  </si>
  <si>
    <t>&gt;리포트 툴은 그대로 사용하지만 화면 UI는 변경한다.</t>
    <phoneticPr fontId="1" type="noConversion"/>
  </si>
  <si>
    <t>개발시 구매항목</t>
    <phoneticPr fontId="1" type="noConversion"/>
  </si>
  <si>
    <t>업체 변경 운영시 구매항목</t>
    <phoneticPr fontId="1" type="noConversion"/>
  </si>
  <si>
    <t>코어 및 디자인 변경 작업</t>
    <phoneticPr fontId="1" type="noConversion"/>
  </si>
  <si>
    <t>설계</t>
    <phoneticPr fontId="1" type="noConversion"/>
  </si>
  <si>
    <t>기획</t>
    <phoneticPr fontId="1" type="noConversion"/>
  </si>
  <si>
    <t>테스트</t>
    <phoneticPr fontId="1" type="noConversion"/>
  </si>
  <si>
    <t>단위테스트
통합테스트
사용자테스트</t>
    <phoneticPr fontId="1" type="noConversion"/>
  </si>
  <si>
    <t>1. 개발환경 - .NET / Jaba 로 개발하시는 경우는 Crystal Reports 2008 버젼을 구매하시면 되고 C++,Vbasic를 사용하여 개발하는 경우는 Crystal Report XI(11.x버젼)을 구매하면 됩니다.
2. 개발 결과물의 배포여부 - 개발한 결과물을 내부에서 사용하는 경우는 개발자수 만큼만 구매하면되지만 개발된 결과물을 외부로 배포하는 경우에는 구매방법이 달라집니다.
  정확하지 않은 구매는 법적 문제를 야기할수도 있습니다.
  a. 결과물을 외부업체에 납품하고 공급받은 업체가 내부에서만 사용하는 경우 - Crystal Report 2008 1 Copy를 같이 납품하여야합니다.(단, 추가 개발자가 있을경우는 개발자 수만큼 구매하셔야합니다.)
  b. 결과물을 외부업체에 납품하고 공급받은 업체가 Web으로 사용하는 경우 - Crystal Report 2008 을 1 Copy를 같이 납품하여야하고 추가로 Crystal Report 2008 Server 및 Mainternenc 라이선스를 같이 납품하여야 합니다.
    ( 공급받은 업체가 Web 서비스를 함에도 Crystal Report 2008 Server 라이선스를 구매하지 않을경우 배포 라이선스 위반으로 법적 불이익을 받을수 있습니다.) 
  c. Web 버젼의 경우 운영서버 대수만큼 구매를 하여야합니다.</t>
    <phoneticPr fontId="1" type="noConversion"/>
  </si>
  <si>
    <t>1-1안.</t>
    <phoneticPr fontId="1" type="noConversion"/>
  </si>
  <si>
    <t>1-2안.</t>
    <phoneticPr fontId="1" type="noConversion"/>
  </si>
  <si>
    <t>1. 기업 및 정부 사용 라이선스.
DEVEXPRESS는 개발자별로 소프트웨어 개발 제품을 라이선스합니다.
귀하가 기업 및/또는 법인을 대표하는 경우, 귀하 또는 귀하의 직원은 본 계약의 섹션 9에 따라 소프트웨어 개발 제품을 사용하는 각 개발자에 대해 DEVEXPRESS 또는 공인 리셀러로부터 12개월 구독을 구매하여 소프트웨어 개발 제품을 설치, 복사 및 사용할 수 있습니다. 소프트웨어 개발 제품을 사용하는 라이선스가 있는 개발자의 수는 DEVEXPRESS 또는 공인 리셀러로부터 구매한 시트 수와 같거나 이보다 적어야 합니다.</t>
    <phoneticPr fontId="1" type="noConversion"/>
  </si>
  <si>
    <t>* 참조 1. 크리스탈리포트 라이선스</t>
    <phoneticPr fontId="1" type="noConversion"/>
  </si>
  <si>
    <t>** 참조 2. DevExpress 라이선스</t>
    <phoneticPr fontId="1" type="noConversion"/>
  </si>
  <si>
    <t>Android Version 11 이상</t>
    <phoneticPr fontId="1" type="noConversion"/>
  </si>
  <si>
    <t>*** 참조 3. GUNA 라이선스</t>
    <phoneticPr fontId="1" type="noConversion"/>
  </si>
  <si>
    <t>1. 프리미엄 라이선스 기간이란 무엇인가요?
이는 라이선스 키를 활성화한 날로부터 1년의 기간입니다.
2. 면허의 유효 기간은 얼마입니까?
기간은 라이선스 키를 활성화한 날로부터 정확히 1년입니다.
3. 프리미엄 라이선스가 종료되면 어떻게 되나요?
불행히도 프로젝트를 편집할 수 없습니다. 계속하려면 프리미엄 라이선스 키를 구매해야 합니다. 이는 이미 배포되었거나 시장에 출시된 제품에는 영향을 미치지 않습니다.</t>
    <phoneticPr fontId="1" type="noConversion"/>
  </si>
  <si>
    <t>* 참조 1. 크리스탈리포트 구매</t>
    <phoneticPr fontId="1" type="noConversion"/>
  </si>
  <si>
    <t>GUNA UI/Chart 라이선스 :
  -$2,199 / 12개월 구독
SAP Crystal Reports 2020(64bit) 라이선스 :
  -853,361원 / 영구
MS-SQL Server Community 라이선스: 
  -무료</t>
    <phoneticPr fontId="1" type="noConversion"/>
  </si>
  <si>
    <r>
      <rPr>
        <b/>
        <sz val="10"/>
        <color theme="1"/>
        <rFont val="맑은 고딕"/>
        <family val="3"/>
        <charset val="129"/>
        <scheme val="minor"/>
      </rPr>
      <t>서버/CAL 기준</t>
    </r>
    <r>
      <rPr>
        <sz val="10"/>
        <color theme="1"/>
        <rFont val="맑은 고딕"/>
        <family val="3"/>
        <charset val="129"/>
        <scheme val="minor"/>
      </rPr>
      <t xml:space="preserve">
필요한 수 만큼 서버 라이선스와 CAL을 구입합니다. 서버 라이선스는 SQL Server를 설치하는 서버의 수만큼 구입하므로 계산이 단순합니다. 이때 중요한 것은 CAL의 유형입니다
CAL은 사용자 CAL(User CAL)과 장치 CAL(Device CAL)로 구분됩니다.
User CAL은 사용자에게 접속 권한을 부여하는 것입니다. 사용자가 다수의 장치에서 접속하는 경우 사용자 CAL이 적합합니다.
Device CAL은 장치에 접속 권한을 부여하는 것입니다. 하나의 장치에서 다수의 사용자가 교대로 접속하는 경우 장치 CAL이 적합합니다.
</t>
    </r>
    <r>
      <rPr>
        <b/>
        <sz val="10"/>
        <color theme="1"/>
        <rFont val="맑은 고딕"/>
        <family val="3"/>
        <charset val="129"/>
        <scheme val="minor"/>
      </rPr>
      <t xml:space="preserve">코어 기준
</t>
    </r>
    <r>
      <rPr>
        <sz val="10"/>
        <color theme="1"/>
        <rFont val="맑은 고딕"/>
        <family val="3"/>
        <charset val="129"/>
        <scheme val="minor"/>
      </rPr>
      <t>SQL Server가 설치되는 서버의 코어 수를 기준으로 구입합니다. 코어 두 개 당 하나의 라이선스가 필요합니다. 예를 들어 서버의 코어 수가 16이라면 8개의 코어 라이선스가 필요합니다.
코어 라이선스의 특징은 CAL이 무제한이라는 것입니다. 가격이 높기는 하지만, 사용자 수가 많다면 코어 기준 라이선스가 유리할 수 있습니다.
SQL Server 2019 Standard 라이선스의 가격이 100이라면, CAL의 가격은 25, 코어 라이선스의 가격은 400 정도입니다. 8 코어 서버 두 대에 SQL Server를 설치하고, CAL이 100개 필요하다고 할 경우, 각 방식에 따른 라이선스 가격은 다음과 같습니다.
서버/CAL 기준
서버 라이선스 : 100 × 2 = 200
CAL : 25 × 100 = 2500
합계 : 200 + 2500 = 2700
코어 기준
총 코어 수가 16이므로, 코어 라이선스 8개가 필요합니다.
400 × 8 = 3200
만약 CAL이 200개 필요하다면 서버/CAL 기준의 경우 2500이 추가되어 총 금액이 5200이 되지만, 코어 기준으로 구입하는 경우에는 3200 그대로입니다. 즉, 서버 사양, 서버 수, 사용자 수에 따라 적절한 방법이 달라집니다.</t>
    </r>
    <phoneticPr fontId="1" type="noConversion"/>
  </si>
  <si>
    <t>**** 참조 4. MSSQL Server 라이선스</t>
    <phoneticPr fontId="1" type="noConversion"/>
  </si>
  <si>
    <t>GUNA UI/Chart 라이선스 : 
  -변경시 $2,199 / 12개월 구독
  -운영시 $2,199 영구
SAP Crystal Reports 2020(64bit) 라이선스 :
  -변경시 853,361원 / 영구
  -운영시 853,361원 / 영구
MS-SQL Server Standard 2019 CAL 라이선스 :
  -영구
  -USD$209</t>
    <phoneticPr fontId="1" type="noConversion"/>
  </si>
  <si>
    <t>비주얼스튜디오 2019 이상
DevExpress 22.2.3
ASP.Net (MVC)
Crystal Report 2019
.NET Framework 4.5이상
MS-SQL Server Community 2019
Window 10이상</t>
    <phoneticPr fontId="1" type="noConversion"/>
  </si>
  <si>
    <r>
      <t xml:space="preserve">비주얼스튜디오 2019 이상
</t>
    </r>
    <r>
      <rPr>
        <b/>
        <sz val="11"/>
        <color theme="1"/>
        <rFont val="맑은 고딕"/>
        <family val="3"/>
        <charset val="129"/>
        <scheme val="minor"/>
      </rPr>
      <t>.NET Core</t>
    </r>
    <r>
      <rPr>
        <sz val="11"/>
        <color theme="1"/>
        <rFont val="맑은 고딕"/>
        <family val="3"/>
        <charset val="129"/>
        <scheme val="minor"/>
      </rPr>
      <t xml:space="preserve">
</t>
    </r>
    <r>
      <rPr>
        <b/>
        <sz val="11"/>
        <color theme="1"/>
        <rFont val="맑은 고딕"/>
        <family val="3"/>
        <charset val="129"/>
        <scheme val="minor"/>
      </rPr>
      <t>GUNA UI/Chart</t>
    </r>
    <r>
      <rPr>
        <sz val="11"/>
        <color theme="1"/>
        <rFont val="맑은 고딕"/>
        <family val="3"/>
        <charset val="129"/>
        <scheme val="minor"/>
      </rPr>
      <t xml:space="preserve">
Crystal Report 2019
MS-SQL Server Community 2019
Window 10이상</t>
    </r>
    <phoneticPr fontId="1" type="noConversion"/>
  </si>
  <si>
    <r>
      <t xml:space="preserve">비주얼스튜디오 2019 이상
</t>
    </r>
    <r>
      <rPr>
        <b/>
        <sz val="11"/>
        <color theme="1"/>
        <rFont val="맑은 고딕"/>
        <family val="3"/>
        <charset val="129"/>
        <scheme val="minor"/>
      </rPr>
      <t>.NET Core
GUNA UI/Chart</t>
    </r>
    <r>
      <rPr>
        <sz val="11"/>
        <color theme="1"/>
        <rFont val="맑은 고딕"/>
        <family val="3"/>
        <charset val="129"/>
        <scheme val="minor"/>
      </rPr>
      <t xml:space="preserve">
Crystal Report 2019
MS-SQL Server Community 2019
Window 10이상</t>
    </r>
    <phoneticPr fontId="1" type="noConversion"/>
  </si>
  <si>
    <t>DevExpress (Universal) 라이선스 :
  -$2,199 / 영구
SAP Crystal Reports 2020(64bit) 라이선스 :
  -853,361원 / 영구
MS-SQL Server Community 2019 라이선스: 
  -무료</t>
    <phoneticPr fontId="1" type="noConversion"/>
  </si>
  <si>
    <t>GUNA UI/Chart 라이선스 :
  -$2,199 / 12개월 구독
SAP Crystal Reports 2020(64bit) 라이선스 :
  -853,361원 / 영구
MS-SQL Server Community 2019 라이선스: 
  -무료</t>
    <phoneticPr fontId="1" type="noConversion"/>
  </si>
  <si>
    <t>'참조 1. 크리스탈리포트 구매'
'참조 2. DevExpress 구매'</t>
    <phoneticPr fontId="1" type="noConversion"/>
  </si>
  <si>
    <t>'참조 1. 크리스탈리포트 구매'
'참조 3. GUNA 라이선스'</t>
    <phoneticPr fontId="1" type="noConversion"/>
  </si>
  <si>
    <t>'참조 1. 크리스탈리포트 라이선스'
'참조 3. GUNA 라이선스'</t>
    <phoneticPr fontId="1" type="noConversion"/>
  </si>
  <si>
    <t>1. 개발 프레임워크 변경
  -ASP.Net Framework에서 .Net Core로 변경
2. 업무 화면 재개발
  -GUNA UI/Chart 툴로 전체 화면 재개발
  -아래는 메뉴명 및 개수
    MES 공통(59)
    현장시스템 WIP(4)
    현장시스템 MES(1)
    모니터링(10)
    LIMS(60)
    QMS(46)</t>
    <phoneticPr fontId="1" type="noConversion"/>
  </si>
  <si>
    <t>화면설계
메뉴구성도
DB설계</t>
    <phoneticPr fontId="1" type="noConversion"/>
  </si>
  <si>
    <t>1. 개발 프레임워크 구성
  -.Net Core로 변경
2. 업무 화면 재개발
  -GUNA UI/Chart 툴로 전체 화면 재개발
  -아래는 메뉴명 및 개수
    MES 공통(59)
    현장시스템 WIP(4)
    현장시스템 MES(1)
    모니터링(10)
    LIMS(60)
    QMS(46)
3. 추가 업무 DB쿼리 개발</t>
    <phoneticPr fontId="1" type="noConversion"/>
  </si>
  <si>
    <t>RWS
(칭량후 인수인계)</t>
    <phoneticPr fontId="1" type="noConversion"/>
  </si>
  <si>
    <t>실험실</t>
    <phoneticPr fontId="1" type="noConversion"/>
  </si>
  <si>
    <t>시험일지 작성</t>
    <phoneticPr fontId="1" type="noConversion"/>
  </si>
  <si>
    <t>-검색: 진행상태표시, 시험번호, 조회일자
-조회 버튼
-결과항목: 시험종류, 시험번호, 지시일자, 제품명, 제조번호, 지시수량/단위, 진행상태, 검채채취
-작업실 설정 화면
  파라미터 명, 입력구분, 설정값, 설명 (수정 버튼)</t>
    <phoneticPr fontId="1" type="noConversion"/>
  </si>
  <si>
    <t>기본정보</t>
    <phoneticPr fontId="1" type="noConversion"/>
  </si>
  <si>
    <t>적치/피킹</t>
    <phoneticPr fontId="1" type="noConversion"/>
  </si>
  <si>
    <t>원자재관리</t>
    <phoneticPr fontId="1" type="noConversion"/>
  </si>
  <si>
    <t>제품관리</t>
    <phoneticPr fontId="1" type="noConversion"/>
  </si>
  <si>
    <t>재고관리</t>
    <phoneticPr fontId="1" type="noConversion"/>
  </si>
  <si>
    <t>팩/지함 정보 조회</t>
    <phoneticPr fontId="1" type="noConversion"/>
  </si>
  <si>
    <t>셀 정보 조회</t>
    <phoneticPr fontId="1" type="noConversion"/>
  </si>
  <si>
    <t>팩/지험 적치</t>
    <phoneticPr fontId="1" type="noConversion"/>
  </si>
  <si>
    <t>위치 별 적치</t>
    <phoneticPr fontId="1" type="noConversion"/>
  </si>
  <si>
    <t>피킹</t>
    <phoneticPr fontId="1" type="noConversion"/>
  </si>
  <si>
    <t>시험완료품목 이동대상</t>
    <phoneticPr fontId="1" type="noConversion"/>
  </si>
  <si>
    <t>원자재 미적치 조회</t>
    <phoneticPr fontId="1" type="noConversion"/>
  </si>
  <si>
    <t>원자재 별 위치 조회</t>
    <phoneticPr fontId="1" type="noConversion"/>
  </si>
  <si>
    <t>제품 미적치 조회</t>
    <phoneticPr fontId="1" type="noConversion"/>
  </si>
  <si>
    <t>제품 이동적치조회</t>
    <phoneticPr fontId="1" type="noConversion"/>
  </si>
  <si>
    <t>제품 별 위치 조회</t>
    <phoneticPr fontId="1" type="noConversion"/>
  </si>
  <si>
    <t>완제품 기타입고 등록</t>
    <phoneticPr fontId="1" type="noConversion"/>
  </si>
  <si>
    <t>완제품 기타출고 등록</t>
    <phoneticPr fontId="1" type="noConversion"/>
  </si>
  <si>
    <t>완제품 수불현황 조회</t>
    <phoneticPr fontId="1" type="noConversion"/>
  </si>
  <si>
    <t>원자재 기타입고 등록</t>
    <phoneticPr fontId="1" type="noConversion"/>
  </si>
  <si>
    <t>원자재 기타출고 등록</t>
    <phoneticPr fontId="1" type="noConversion"/>
  </si>
  <si>
    <t>원자재 수불현황 조회</t>
    <phoneticPr fontId="1" type="noConversion"/>
  </si>
  <si>
    <t>WMS</t>
    <phoneticPr fontId="1" type="noConversion"/>
  </si>
  <si>
    <t>메뉴명</t>
    <phoneticPr fontId="1" type="noConversion"/>
  </si>
  <si>
    <t>팩/지함별 적치</t>
    <phoneticPr fontId="1" type="noConversion"/>
  </si>
  <si>
    <t>현장 WMS</t>
    <phoneticPr fontId="1" type="noConversion"/>
  </si>
  <si>
    <t>화면명</t>
    <phoneticPr fontId="1" type="noConversion"/>
  </si>
  <si>
    <t>공통</t>
    <phoneticPr fontId="1" type="noConversion"/>
  </si>
  <si>
    <t>시스템 설정</t>
    <phoneticPr fontId="1" type="noConversion"/>
  </si>
  <si>
    <t>프로그램 등록</t>
    <phoneticPr fontId="1" type="noConversion"/>
  </si>
  <si>
    <t>메뉴 구성</t>
    <phoneticPr fontId="1" type="noConversion"/>
  </si>
  <si>
    <t>공통코드 관리</t>
    <phoneticPr fontId="1" type="noConversion"/>
  </si>
  <si>
    <t>파라미터 관리</t>
    <phoneticPr fontId="1" type="noConversion"/>
  </si>
  <si>
    <t>복합 파라미터 관리</t>
    <phoneticPr fontId="1" type="noConversion"/>
  </si>
  <si>
    <t>메뉴1</t>
    <phoneticPr fontId="1" type="noConversion"/>
  </si>
  <si>
    <t>메뉴2</t>
    <phoneticPr fontId="1" type="noConversion"/>
  </si>
  <si>
    <t>메뉴3</t>
    <phoneticPr fontId="1" type="noConversion"/>
  </si>
  <si>
    <t>제품제조관리</t>
    <phoneticPr fontId="1" type="noConversion"/>
  </si>
  <si>
    <t>제조관리</t>
    <phoneticPr fontId="1" type="noConversion"/>
  </si>
  <si>
    <t>제조지시기록서 관리</t>
    <phoneticPr fontId="1" type="noConversion"/>
  </si>
  <si>
    <t>포장지시기록서관리</t>
    <phoneticPr fontId="1" type="noConversion"/>
  </si>
  <si>
    <t>원자재 품목별 사용현황</t>
    <phoneticPr fontId="1" type="noConversion"/>
  </si>
  <si>
    <t>완제품 생산 계획</t>
    <phoneticPr fontId="1" type="noConversion"/>
  </si>
  <si>
    <t>제조지시 대장작성</t>
    <phoneticPr fontId="1" type="noConversion"/>
  </si>
  <si>
    <t>반제품보관실모니터링</t>
    <phoneticPr fontId="1" type="noConversion"/>
  </si>
  <si>
    <t>공정별 모니터링</t>
    <phoneticPr fontId="1" type="noConversion"/>
  </si>
  <si>
    <t>제품별 모니터링</t>
    <phoneticPr fontId="1" type="noConversion"/>
  </si>
  <si>
    <t>제품별 칭량기록</t>
    <phoneticPr fontId="1" type="noConversion"/>
  </si>
  <si>
    <t>일일 작업 일보</t>
    <phoneticPr fontId="1" type="noConversion"/>
  </si>
  <si>
    <t>설비 가동 실적</t>
    <phoneticPr fontId="1" type="noConversion"/>
  </si>
  <si>
    <t>RWS</t>
    <phoneticPr fontId="1" type="noConversion"/>
  </si>
  <si>
    <t>예방점검 관리</t>
    <phoneticPr fontId="1" type="noConversion"/>
  </si>
  <si>
    <t>일정 확인</t>
    <phoneticPr fontId="1" type="noConversion"/>
  </si>
  <si>
    <t>일정관리 대상 등록</t>
    <phoneticPr fontId="1" type="noConversion"/>
  </si>
  <si>
    <t>예방점검 체크사항 작성</t>
    <phoneticPr fontId="1" type="noConversion"/>
  </si>
  <si>
    <t>점검 기록서</t>
    <phoneticPr fontId="1" type="noConversion"/>
  </si>
  <si>
    <t xml:space="preserve">반제품 관리 일반입고(입고 정보 조회, 무게 입력, 수량입력,
공정수율 정잔, 시험의뢰 조회, 인원추가 입력, 설비추가 </t>
    <phoneticPr fontId="1" type="noConversion"/>
  </si>
  <si>
    <t>LIMS</t>
    <phoneticPr fontId="1" type="noConversion"/>
  </si>
  <si>
    <t>QMS</t>
    <phoneticPr fontId="1" type="noConversion"/>
  </si>
  <si>
    <t>WMS(현장)</t>
    <phoneticPr fontId="1" type="noConversion"/>
  </si>
  <si>
    <t>작업소 관리</t>
    <phoneticPr fontId="1" type="noConversion"/>
  </si>
  <si>
    <t>구역(Zone) 등록</t>
    <phoneticPr fontId="1" type="noConversion"/>
  </si>
  <si>
    <t>셀(Cell)등록</t>
    <phoneticPr fontId="1" type="noConversion"/>
  </si>
  <si>
    <t>간납처 등록</t>
    <phoneticPr fontId="1" type="noConversion"/>
  </si>
  <si>
    <t>원자재 입고 관리</t>
    <phoneticPr fontId="1" type="noConversion"/>
  </si>
  <si>
    <t>원료 발주 관리</t>
    <phoneticPr fontId="1" type="noConversion"/>
  </si>
  <si>
    <t>자재 발주 관리</t>
    <phoneticPr fontId="1" type="noConversion"/>
  </si>
  <si>
    <t>원료 검수 관리</t>
    <phoneticPr fontId="1" type="noConversion"/>
  </si>
  <si>
    <t>자재 검수 관리</t>
    <phoneticPr fontId="1" type="noConversion"/>
  </si>
  <si>
    <t>입고 체크 리스트</t>
    <phoneticPr fontId="1" type="noConversion"/>
  </si>
  <si>
    <t>원료 입고 관리</t>
    <phoneticPr fontId="1" type="noConversion"/>
  </si>
  <si>
    <t>자재 입고 관리</t>
    <phoneticPr fontId="1" type="noConversion"/>
  </si>
  <si>
    <t>원자재 창고 관리</t>
    <phoneticPr fontId="1" type="noConversion"/>
  </si>
  <si>
    <t>원료 재고 현황</t>
    <phoneticPr fontId="1" type="noConversion"/>
  </si>
  <si>
    <t>자재 재고 현황</t>
    <phoneticPr fontId="1" type="noConversion"/>
  </si>
  <si>
    <t>원료 수불 이력</t>
    <phoneticPr fontId="1" type="noConversion"/>
  </si>
  <si>
    <t>자재 수불 이력</t>
    <phoneticPr fontId="1" type="noConversion"/>
  </si>
  <si>
    <t>원료 팩 수불현황</t>
    <phoneticPr fontId="1" type="noConversion"/>
  </si>
  <si>
    <t>자재 팩 수불현황</t>
    <phoneticPr fontId="1" type="noConversion"/>
  </si>
  <si>
    <t>원료 사용 내역</t>
    <phoneticPr fontId="1" type="noConversion"/>
  </si>
  <si>
    <t>자재 사용 내역</t>
    <phoneticPr fontId="1" type="noConversion"/>
  </si>
  <si>
    <t>원료 월간 수불</t>
    <phoneticPr fontId="1" type="noConversion"/>
  </si>
  <si>
    <t>자재 월간 수불</t>
    <phoneticPr fontId="1" type="noConversion"/>
  </si>
  <si>
    <t>원료 사용 실적</t>
    <phoneticPr fontId="1" type="noConversion"/>
  </si>
  <si>
    <t>원료 기타 입고 관리</t>
    <phoneticPr fontId="1" type="noConversion"/>
  </si>
  <si>
    <t>원료 기타 출고 관리</t>
    <phoneticPr fontId="1" type="noConversion"/>
  </si>
  <si>
    <t>자재 기타 입고 관리</t>
    <phoneticPr fontId="1" type="noConversion"/>
  </si>
  <si>
    <t>자재 기타 출고 관리</t>
    <phoneticPr fontId="1" type="noConversion"/>
  </si>
  <si>
    <t>원료별 PickingOrder 조회</t>
    <phoneticPr fontId="1" type="noConversion"/>
  </si>
  <si>
    <t>Picking 관리</t>
    <phoneticPr fontId="1" type="noConversion"/>
  </si>
  <si>
    <t>원료 유효기간 현황</t>
    <phoneticPr fontId="1" type="noConversion"/>
  </si>
  <si>
    <t>원료 예약량 조회</t>
    <phoneticPr fontId="1" type="noConversion"/>
  </si>
  <si>
    <t>자재 예약량 조회</t>
    <phoneticPr fontId="1" type="noConversion"/>
  </si>
  <si>
    <t>원자재 위치 관리</t>
    <phoneticPr fontId="1" type="noConversion"/>
  </si>
  <si>
    <t>원료 적치 현황</t>
    <phoneticPr fontId="1" type="noConversion"/>
  </si>
  <si>
    <t>자재 적치 관리</t>
    <phoneticPr fontId="1" type="noConversion"/>
  </si>
  <si>
    <t>원료 적치 관리</t>
    <phoneticPr fontId="1" type="noConversion"/>
  </si>
  <si>
    <t>자재 불출지시</t>
    <phoneticPr fontId="1" type="noConversion"/>
  </si>
  <si>
    <t>원료 불출지시</t>
    <phoneticPr fontId="1" type="noConversion"/>
  </si>
  <si>
    <t>원료 불출합계</t>
    <phoneticPr fontId="1" type="noConversion"/>
  </si>
  <si>
    <t>원자재 셀 적치 현황</t>
    <phoneticPr fontId="1" type="noConversion"/>
  </si>
  <si>
    <t>완제품 입고 관리</t>
    <phoneticPr fontId="1" type="noConversion"/>
  </si>
  <si>
    <t>완제품 주문 관리</t>
    <phoneticPr fontId="1" type="noConversion"/>
  </si>
  <si>
    <t>완제품 입고 등록</t>
    <phoneticPr fontId="1" type="noConversion"/>
  </si>
  <si>
    <t>완제품 출하승인 조회</t>
    <phoneticPr fontId="1" type="noConversion"/>
  </si>
  <si>
    <t>완제품 인수인계</t>
    <phoneticPr fontId="1" type="noConversion"/>
  </si>
  <si>
    <t>완제품 출고 관리</t>
    <phoneticPr fontId="1" type="noConversion"/>
  </si>
  <si>
    <t>제품 출고 주문</t>
    <phoneticPr fontId="1" type="noConversion"/>
  </si>
  <si>
    <t>제품 출고 의뢰</t>
    <phoneticPr fontId="1" type="noConversion"/>
  </si>
  <si>
    <t>제품 출고 등록</t>
    <phoneticPr fontId="1" type="noConversion"/>
  </si>
  <si>
    <t>제품 출고</t>
    <phoneticPr fontId="1" type="noConversion"/>
  </si>
  <si>
    <t>완제품 창고 관리</t>
    <phoneticPr fontId="1" type="noConversion"/>
  </si>
  <si>
    <t>완제품 재고 현황</t>
    <phoneticPr fontId="1" type="noConversion"/>
  </si>
  <si>
    <t>완제품 수불 이력</t>
    <phoneticPr fontId="1" type="noConversion"/>
  </si>
  <si>
    <t>완제품 팔레트 수불이력</t>
    <phoneticPr fontId="1" type="noConversion"/>
  </si>
  <si>
    <t>완제품 사용 내역(수불장)</t>
    <phoneticPr fontId="1" type="noConversion"/>
  </si>
  <si>
    <t>완제품 월간 수불</t>
    <phoneticPr fontId="1" type="noConversion"/>
  </si>
  <si>
    <t>완제품 기타 입고 등록</t>
    <phoneticPr fontId="1" type="noConversion"/>
  </si>
  <si>
    <t>완제품 기타 출고 등록</t>
    <phoneticPr fontId="1" type="noConversion"/>
  </si>
  <si>
    <t>완제품 위치 관리</t>
    <phoneticPr fontId="1" type="noConversion"/>
  </si>
  <si>
    <t>완제품 적치 현황</t>
    <phoneticPr fontId="1" type="noConversion"/>
  </si>
  <si>
    <t>완제품 적치 등록</t>
    <phoneticPr fontId="1" type="noConversion"/>
  </si>
  <si>
    <t>완제품 위치 조회</t>
    <phoneticPr fontId="1" type="noConversion"/>
  </si>
  <si>
    <t>완제품 셀 적치 현황</t>
    <phoneticPr fontId="1" type="noConversion"/>
  </si>
  <si>
    <t>승인관리</t>
    <phoneticPr fontId="1" type="noConversion"/>
  </si>
  <si>
    <t>시험성적승인</t>
    <phoneticPr fontId="1" type="noConversion"/>
  </si>
  <si>
    <t>적/부 판정 라벨</t>
    <phoneticPr fontId="1" type="noConversion"/>
  </si>
  <si>
    <t>출하승인</t>
    <phoneticPr fontId="1" type="noConversion"/>
  </si>
  <si>
    <t>시험항목 관리</t>
    <phoneticPr fontId="1" type="noConversion"/>
  </si>
  <si>
    <t>시험 관리 단계 설정</t>
    <phoneticPr fontId="1" type="noConversion"/>
  </si>
  <si>
    <t>시험방법 관리</t>
    <phoneticPr fontId="1" type="noConversion"/>
  </si>
  <si>
    <t>시험기기 관리</t>
    <phoneticPr fontId="1" type="noConversion"/>
  </si>
  <si>
    <t>PDF 템플릿 등록</t>
    <phoneticPr fontId="1" type="noConversion"/>
  </si>
  <si>
    <t>시험접수</t>
    <phoneticPr fontId="1" type="noConversion"/>
  </si>
  <si>
    <t>시험기록서 확인</t>
    <phoneticPr fontId="1" type="noConversion"/>
  </si>
  <si>
    <t>시험기록서 승인</t>
    <phoneticPr fontId="1" type="noConversion"/>
  </si>
  <si>
    <t>시험기록서 작성</t>
    <phoneticPr fontId="1" type="noConversion"/>
  </si>
  <si>
    <t>항목별 공수 확인</t>
    <phoneticPr fontId="1" type="noConversion"/>
  </si>
  <si>
    <t>시험별 공수 확인</t>
    <phoneticPr fontId="1" type="noConversion"/>
  </si>
  <si>
    <t>시험기기 사용계획</t>
    <phoneticPr fontId="1" type="noConversion"/>
  </si>
  <si>
    <t>첨부파일 관리</t>
    <phoneticPr fontId="1" type="noConversion"/>
  </si>
  <si>
    <t>온/습도 확인</t>
    <phoneticPr fontId="1" type="noConversion"/>
  </si>
  <si>
    <t>RDMS 파일검색/출력</t>
    <phoneticPr fontId="1" type="noConversion"/>
  </si>
  <si>
    <t>보관검체 등록</t>
    <phoneticPr fontId="1" type="noConversion"/>
  </si>
  <si>
    <t>보관검체 사용 승인</t>
    <phoneticPr fontId="1" type="noConversion"/>
  </si>
  <si>
    <t>보관검체 사용 요청</t>
    <phoneticPr fontId="1" type="noConversion"/>
  </si>
  <si>
    <t>보관검체 반출</t>
    <phoneticPr fontId="1" type="noConversion"/>
  </si>
  <si>
    <t>보관검체 환입</t>
    <phoneticPr fontId="1" type="noConversion"/>
  </si>
  <si>
    <t>보관검체 폐기</t>
    <phoneticPr fontId="1" type="noConversion"/>
  </si>
  <si>
    <t>제조용수 시험 스케줄</t>
    <phoneticPr fontId="1" type="noConversion"/>
  </si>
  <si>
    <t>제조용수 시험 스케줄 승인</t>
    <phoneticPr fontId="1" type="noConversion"/>
  </si>
  <si>
    <t>제조용수 시험 의뢰</t>
    <phoneticPr fontId="1" type="noConversion"/>
  </si>
  <si>
    <t>청정도 관리</t>
    <phoneticPr fontId="1" type="noConversion"/>
  </si>
  <si>
    <t>균주/배지 설정</t>
    <phoneticPr fontId="1" type="noConversion"/>
  </si>
  <si>
    <t>청정도별 기준 설정</t>
    <phoneticPr fontId="1" type="noConversion"/>
  </si>
  <si>
    <t>환경모니터링 포인트설정</t>
    <phoneticPr fontId="1" type="noConversion"/>
  </si>
  <si>
    <t>환경모니터링 스케쥴</t>
    <phoneticPr fontId="1" type="noConversion"/>
  </si>
  <si>
    <t>환경모니터링 성적서 작성</t>
    <phoneticPr fontId="1" type="noConversion"/>
  </si>
  <si>
    <t>환경모니터링 판정</t>
    <phoneticPr fontId="1" type="noConversion"/>
  </si>
  <si>
    <t>안정성보관검체 관리</t>
    <phoneticPr fontId="1" type="noConversion"/>
  </si>
  <si>
    <t>안정성보관검체 등록</t>
    <phoneticPr fontId="1" type="noConversion"/>
  </si>
  <si>
    <t>안정성보관검체 사용</t>
    <phoneticPr fontId="1" type="noConversion"/>
  </si>
  <si>
    <t>안정성보관검체 폐기</t>
    <phoneticPr fontId="1" type="noConversion"/>
  </si>
  <si>
    <t>안정성시험 등록</t>
    <phoneticPr fontId="1" type="noConversion"/>
  </si>
  <si>
    <t>안정성시험 계획</t>
    <phoneticPr fontId="1" type="noConversion"/>
  </si>
  <si>
    <t>안정성시험 의뢰</t>
    <phoneticPr fontId="1" type="noConversion"/>
  </si>
  <si>
    <t>안정성시험 확인</t>
    <phoneticPr fontId="1" type="noConversion"/>
  </si>
  <si>
    <t>안정성시험 분석</t>
    <phoneticPr fontId="1" type="noConversion"/>
  </si>
  <si>
    <t>안정성시험 비교</t>
    <phoneticPr fontId="1" type="noConversion"/>
  </si>
  <si>
    <t>안정성시험 승인</t>
    <phoneticPr fontId="1" type="noConversion"/>
  </si>
  <si>
    <t>표시자재 문안관리</t>
    <phoneticPr fontId="1" type="noConversion"/>
  </si>
  <si>
    <t>실험실관리</t>
  </si>
  <si>
    <t>균주 배양</t>
    <phoneticPr fontId="1" type="noConversion"/>
  </si>
  <si>
    <t>배양 균주 사용</t>
    <phoneticPr fontId="1" type="noConversion"/>
  </si>
  <si>
    <t>배양균주폐기</t>
    <phoneticPr fontId="1" type="noConversion"/>
  </si>
  <si>
    <t>일정확인</t>
    <phoneticPr fontId="1" type="noConversion"/>
  </si>
  <si>
    <t>자율점검조치 계획 작성</t>
    <phoneticPr fontId="1" type="noConversion"/>
  </si>
  <si>
    <t>자율점검 계획 승인</t>
    <phoneticPr fontId="1" type="noConversion"/>
  </si>
  <si>
    <t>자율점검조치 계획 승인</t>
    <phoneticPr fontId="1" type="noConversion"/>
  </si>
  <si>
    <t>일탈확인</t>
    <phoneticPr fontId="1" type="noConversion"/>
  </si>
  <si>
    <t>영향평가 항목 설정</t>
    <phoneticPr fontId="1" type="noConversion"/>
  </si>
  <si>
    <t>변경 접수</t>
    <phoneticPr fontId="1" type="noConversion"/>
  </si>
  <si>
    <t>변경 검토</t>
    <phoneticPr fontId="1" type="noConversion"/>
  </si>
  <si>
    <t>변경 완료</t>
    <phoneticPr fontId="1" type="noConversion"/>
  </si>
  <si>
    <t>교육 등록</t>
    <phoneticPr fontId="1" type="noConversion"/>
  </si>
  <si>
    <t>교육결과 입력</t>
    <phoneticPr fontId="1" type="noConversion"/>
  </si>
  <si>
    <t>교육 평가</t>
    <phoneticPr fontId="1" type="noConversion"/>
  </si>
  <si>
    <t>개인별 자격관리</t>
    <phoneticPr fontId="1" type="noConversion"/>
  </si>
  <si>
    <t>MRP</t>
    <phoneticPr fontId="1" type="noConversion"/>
  </si>
  <si>
    <t>생산계획</t>
    <phoneticPr fontId="1" type="noConversion"/>
  </si>
  <si>
    <t>생산 계획</t>
    <phoneticPr fontId="1" type="noConversion"/>
  </si>
  <si>
    <t>생산 계획 조회</t>
    <phoneticPr fontId="1" type="noConversion"/>
  </si>
  <si>
    <t>원부자재소요량 관리</t>
    <phoneticPr fontId="1" type="noConversion"/>
  </si>
  <si>
    <t>원료 소요량 계산</t>
    <phoneticPr fontId="1" type="noConversion"/>
  </si>
  <si>
    <t>원료 소요량 확정</t>
    <phoneticPr fontId="1" type="noConversion"/>
  </si>
  <si>
    <t>자재 소요량 계산</t>
    <phoneticPr fontId="1" type="noConversion"/>
  </si>
  <si>
    <t>자재 소요량 확정</t>
    <phoneticPr fontId="1" type="noConversion"/>
  </si>
  <si>
    <t>원부자재발주 관리</t>
    <phoneticPr fontId="1" type="noConversion"/>
  </si>
  <si>
    <t>원료 발주 의뢰</t>
    <phoneticPr fontId="1" type="noConversion"/>
  </si>
  <si>
    <t>원료 발주 확정</t>
    <phoneticPr fontId="1" type="noConversion"/>
  </si>
  <si>
    <t>자재 발주 의뢰</t>
    <phoneticPr fontId="1" type="noConversion"/>
  </si>
  <si>
    <t>원부자재 단가 조회</t>
    <phoneticPr fontId="1" type="noConversion"/>
  </si>
  <si>
    <t>자재 발주 확정</t>
    <phoneticPr fontId="1" type="noConversion"/>
  </si>
  <si>
    <t>LIMS(현장)</t>
    <phoneticPr fontId="1" type="noConversion"/>
  </si>
  <si>
    <t>RWS(현장)</t>
    <phoneticPr fontId="1" type="noConversion"/>
  </si>
  <si>
    <t>DevExpress 설치</t>
    <phoneticPr fontId="1" type="noConversion"/>
  </si>
  <si>
    <t>SAP CrystalReport 설치</t>
    <phoneticPr fontId="1" type="noConversion"/>
  </si>
  <si>
    <t>MSSQL Server 설치</t>
    <phoneticPr fontId="1" type="noConversion"/>
  </si>
  <si>
    <t>32비트, 64비트 모듈 다 설치</t>
    <phoneticPr fontId="1" type="noConversion"/>
  </si>
  <si>
    <t>SQL Server 네트워크 구성
-MSSQLSERVER에 대한 프로토콜
 (공유 메모리, TCP/IP 사용으로 모두 설정)</t>
    <phoneticPr fontId="1" type="noConversion"/>
  </si>
  <si>
    <t>보안</t>
    <phoneticPr fontId="1" type="noConversion"/>
  </si>
  <si>
    <t>DB 포트 인바운드 규칙에 추가(1433)</t>
    <phoneticPr fontId="1" type="noConversion"/>
  </si>
  <si>
    <t>MES(관리)</t>
    <phoneticPr fontId="1" type="noConversion"/>
  </si>
  <si>
    <t>소영역별건수</t>
    <phoneticPr fontId="1" type="noConversion"/>
  </si>
  <si>
    <t>대영역별건수</t>
    <phoneticPr fontId="1" type="noConversion"/>
  </si>
  <si>
    <t>MES(관리용)</t>
    <phoneticPr fontId="1" type="noConversion"/>
  </si>
  <si>
    <t>MES(현장용)</t>
    <phoneticPr fontId="1" type="noConversion"/>
  </si>
  <si>
    <t>비주얼스튜디오 2019 이상
DevExpress 22.2.3
ASP.Net (MVC)
Crystal Report 2019
.NET Framework 4.5이상
MS-SQL Server Community 2019
Windows용 버전 : Window 10이상
모바일용 버전 : Android Version 11 이상</t>
    <phoneticPr fontId="1" type="noConversion"/>
  </si>
  <si>
    <r>
      <t xml:space="preserve">1. 업무 화면 디자인 변경
  -화면 색상, 폰트, 로그, 경로, 리포트 등 변경
  -아래는 메뉴명 및 개수
   1) MES(관리용) : </t>
    </r>
    <r>
      <rPr>
        <b/>
        <sz val="11"/>
        <color theme="1"/>
        <rFont val="맑은 고딕"/>
        <family val="3"/>
        <charset val="129"/>
        <scheme val="minor"/>
      </rPr>
      <t>246개</t>
    </r>
    <r>
      <rPr>
        <sz val="11"/>
        <color theme="1"/>
        <rFont val="맑은 고딕"/>
        <family val="2"/>
        <charset val="129"/>
        <scheme val="minor"/>
      </rPr>
      <t xml:space="preserve">
    (공통, 제조관리, RWS, WMS, LIMS, 실험실관리, QMS, MRP)
   2) MES(현장용) :  </t>
    </r>
    <r>
      <rPr>
        <b/>
        <sz val="11"/>
        <color theme="1"/>
        <rFont val="맑은 고딕"/>
        <family val="3"/>
        <charset val="129"/>
        <scheme val="minor"/>
      </rPr>
      <t>24개</t>
    </r>
    <r>
      <rPr>
        <sz val="11"/>
        <color theme="1"/>
        <rFont val="맑은 고딕"/>
        <family val="2"/>
        <charset val="129"/>
        <scheme val="minor"/>
      </rPr>
      <t xml:space="preserve">
    (WIP, WMS, LIMS, RWS)</t>
    </r>
    <phoneticPr fontId="1" type="noConversion"/>
  </si>
  <si>
    <t>환율에 따라 구매 금액이 달라질 수 있음</t>
    <phoneticPr fontId="1" type="noConversion"/>
  </si>
  <si>
    <t>DevExpress (Universal) 라이선스 : 
  -$2,199 / 영구
SAP Crystal Reports 2020(64bit) 라이선스 :
  -변경시 853,361원 / 영구
  -운영시 853,361원 / 영구
MS-SQL Server Standard 2019 CAL 라이선스 :
  -영구
  -USD$209 (개수에 따라 금액이 달라질 수 있음)</t>
    <phoneticPr fontId="1" type="noConversion"/>
  </si>
  <si>
    <t>업체 운영시 구매항목</t>
    <phoneticPr fontId="1" type="noConversion"/>
  </si>
  <si>
    <t>회사정보</t>
    <phoneticPr fontId="1" type="noConversion"/>
  </si>
  <si>
    <t>사업장관리</t>
  </si>
  <si>
    <t>부서관리</t>
  </si>
  <si>
    <t>사원관리</t>
  </si>
  <si>
    <t>위치정보 관리</t>
  </si>
  <si>
    <t>구역/셀등록</t>
  </si>
  <si>
    <t>거래처 관리</t>
  </si>
  <si>
    <t>사용자 등록</t>
  </si>
  <si>
    <t>휴일관리</t>
  </si>
  <si>
    <t>품목관리</t>
  </si>
  <si>
    <t>BOM관리</t>
  </si>
  <si>
    <t>품목관리</t>
    <phoneticPr fontId="1" type="noConversion"/>
  </si>
  <si>
    <t>코드관리</t>
    <phoneticPr fontId="1" type="noConversion"/>
  </si>
  <si>
    <t>권한관리</t>
  </si>
  <si>
    <t>메뉴권한</t>
  </si>
  <si>
    <t>결재라인</t>
  </si>
  <si>
    <t>알람관리</t>
  </si>
  <si>
    <t>카카오 알림설정</t>
  </si>
  <si>
    <t>메일 알림설정</t>
  </si>
  <si>
    <t>시스템보안</t>
  </si>
  <si>
    <t>Access Log</t>
  </si>
  <si>
    <t>Audit Trail</t>
  </si>
  <si>
    <t>고장관리</t>
  </si>
  <si>
    <t>고장신고</t>
  </si>
  <si>
    <t>SOP관리</t>
  </si>
  <si>
    <t>문서양식</t>
  </si>
  <si>
    <t>생산표준마스터</t>
  </si>
  <si>
    <t>단위공정</t>
  </si>
  <si>
    <t>공정흐름</t>
  </si>
  <si>
    <t>생산계획</t>
  </si>
  <si>
    <t>생산지시</t>
  </si>
  <si>
    <t>불출지시</t>
  </si>
  <si>
    <t>생산기록서 승인</t>
  </si>
  <si>
    <t>시험의뢰리스트</t>
  </si>
  <si>
    <t>재고관리</t>
  </si>
  <si>
    <t>재고리스트</t>
  </si>
  <si>
    <t>불출신청리스트</t>
  </si>
  <si>
    <t>인수인계리스트</t>
  </si>
  <si>
    <t>재고조정</t>
  </si>
  <si>
    <t>소모품관리</t>
  </si>
  <si>
    <t>소모품리스트</t>
  </si>
  <si>
    <t>LOT관리</t>
  </si>
  <si>
    <t>LOT분할</t>
  </si>
  <si>
    <t>LOT추적</t>
  </si>
  <si>
    <t>레포트</t>
  </si>
  <si>
    <t>생산실적</t>
  </si>
  <si>
    <t>생산관리</t>
  </si>
  <si>
    <t>생산관리</t>
    <phoneticPr fontId="1" type="noConversion"/>
  </si>
  <si>
    <t>창고표준마스터</t>
  </si>
  <si>
    <t>가입고 체크리스트</t>
  </si>
  <si>
    <t>입하관리</t>
  </si>
  <si>
    <t>발주 리스트</t>
  </si>
  <si>
    <t>입하 리스트</t>
  </si>
  <si>
    <t>IQC의뢰리스트</t>
  </si>
  <si>
    <t>IQC재시험의뢰리스트</t>
  </si>
  <si>
    <t>창고관리</t>
  </si>
  <si>
    <t>창고관리</t>
    <phoneticPr fontId="1" type="noConversion"/>
  </si>
  <si>
    <t>반품 리스트</t>
  </si>
  <si>
    <t>폐기의뢰리스트</t>
  </si>
  <si>
    <t>출하관리</t>
  </si>
  <si>
    <t>출하요청리스트</t>
  </si>
  <si>
    <t>출하리스트</t>
  </si>
  <si>
    <t>OQC의뢰리스트</t>
  </si>
  <si>
    <t>OQC재시험의뢰리스트</t>
  </si>
  <si>
    <t>재고이동</t>
  </si>
  <si>
    <t>시험관리</t>
  </si>
  <si>
    <t>시험표준마스터</t>
  </si>
  <si>
    <t>시험규격</t>
  </si>
  <si>
    <t>점검양식</t>
  </si>
  <si>
    <t>시험접수</t>
  </si>
  <si>
    <t>시험지시</t>
  </si>
  <si>
    <t>용기관리</t>
  </si>
  <si>
    <t>용기관리리스트</t>
  </si>
  <si>
    <t>예방점검</t>
  </si>
  <si>
    <t>점검계획</t>
  </si>
  <si>
    <t>점검결과</t>
  </si>
  <si>
    <t>품질표준마스터</t>
  </si>
  <si>
    <t>품질관리</t>
  </si>
  <si>
    <t>E-DHR 리스트</t>
  </si>
  <si>
    <t>CofC 리스트</t>
  </si>
  <si>
    <t>품질 문서관리</t>
    <phoneticPr fontId="1" type="noConversion"/>
  </si>
  <si>
    <t>불량관리</t>
  </si>
  <si>
    <t>불량리스트</t>
  </si>
  <si>
    <t>AS접수리스트</t>
  </si>
  <si>
    <t>클레임리스트</t>
  </si>
  <si>
    <t>Q-COST</t>
  </si>
  <si>
    <t>품질관리</t>
    <phoneticPr fontId="1" type="noConversion"/>
  </si>
  <si>
    <t>양식관리</t>
  </si>
  <si>
    <t>시설표준마스터</t>
  </si>
  <si>
    <t>시설관리</t>
  </si>
  <si>
    <t>설비리스트</t>
  </si>
  <si>
    <t>계측기리스트</t>
  </si>
  <si>
    <t>설비부품등록</t>
  </si>
  <si>
    <t>점검관리</t>
  </si>
  <si>
    <t>점검조치계획</t>
  </si>
  <si>
    <t>점검조치결과</t>
  </si>
  <si>
    <t>외부검교정</t>
  </si>
  <si>
    <t>고장접수/처리</t>
  </si>
  <si>
    <t>고장통계</t>
  </si>
  <si>
    <t>이탈관리</t>
  </si>
  <si>
    <t>이탈리스트</t>
  </si>
  <si>
    <t>이탈통계</t>
  </si>
  <si>
    <t>모니터링</t>
  </si>
  <si>
    <t>설비모니터링</t>
  </si>
  <si>
    <t>계측기모니터링</t>
  </si>
  <si>
    <t>시설관리</t>
    <phoneticPr fontId="1" type="noConversion"/>
  </si>
  <si>
    <t>공정 작업</t>
  </si>
  <si>
    <t>반제품 입고</t>
  </si>
  <si>
    <t>반제품 출고</t>
  </si>
  <si>
    <t>일일 점검</t>
  </si>
  <si>
    <t>입하</t>
  </si>
  <si>
    <t>출하</t>
  </si>
  <si>
    <t>일반 입고</t>
  </si>
  <si>
    <t>일반 출고</t>
  </si>
  <si>
    <t>예방 점검</t>
  </si>
  <si>
    <t>자율 점검</t>
  </si>
  <si>
    <t>IQC</t>
  </si>
  <si>
    <t>OQC</t>
  </si>
  <si>
    <t>칭량</t>
  </si>
  <si>
    <t>공정 시험</t>
  </si>
  <si>
    <t>POP 현장프로그램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</si>
</sst>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
  </numFmts>
  <fonts count="9"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sz val="10"/>
      <color theme="1"/>
      <name val="맑은 고딕"/>
      <family val="3"/>
      <charset val="129"/>
      <scheme val="minor"/>
    </font>
    <font>
      <b/>
      <sz val="10"/>
      <color theme="1"/>
      <name val="맑은 고딕"/>
      <family val="3"/>
      <charset val="129"/>
      <scheme val="minor"/>
    </font>
    <font>
      <sz val="10"/>
      <color theme="1"/>
      <name val="맑은 고딕"/>
      <family val="2"/>
      <charset val="129"/>
      <scheme val="minor"/>
    </font>
    <font>
      <sz val="10"/>
      <color rgb="FF000000"/>
      <name val="바탕체"/>
      <family val="1"/>
      <charset val="129"/>
    </font>
    <font>
      <b/>
      <sz val="11"/>
      <color indexed="8"/>
      <name val="맑은 고딕"/>
      <family val="3"/>
      <charset val="129"/>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63">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2" fillId="0" borderId="0" xfId="0" applyFont="1">
      <alignment vertical="center"/>
    </xf>
    <xf numFmtId="0" fontId="0" fillId="0" borderId="5" xfId="0" applyBorder="1">
      <alignment vertical="center"/>
    </xf>
    <xf numFmtId="0" fontId="0" fillId="2" borderId="1" xfId="0" applyFill="1" applyBorder="1" applyAlignment="1">
      <alignment horizontal="center" vertical="center"/>
    </xf>
    <xf numFmtId="0" fontId="0" fillId="2" borderId="1" xfId="0" applyFill="1" applyBorder="1">
      <alignment vertical="center"/>
    </xf>
    <xf numFmtId="0" fontId="2" fillId="2" borderId="1" xfId="0" applyFont="1" applyFill="1" applyBorder="1">
      <alignment vertical="center"/>
    </xf>
    <xf numFmtId="0" fontId="2" fillId="0" borderId="1" xfId="0" applyFont="1" applyBorder="1">
      <alignment vertical="center"/>
    </xf>
    <xf numFmtId="0" fontId="2" fillId="2" borderId="3" xfId="0" applyFont="1" applyFill="1" applyBorder="1" applyAlignment="1">
      <alignment horizontal="center" vertical="center"/>
    </xf>
    <xf numFmtId="0" fontId="0" fillId="3" borderId="1" xfId="0" applyFill="1" applyBorder="1">
      <alignment vertical="center"/>
    </xf>
    <xf numFmtId="0" fontId="0" fillId="3" borderId="1" xfId="0" applyFill="1" applyBorder="1" applyAlignment="1">
      <alignment vertical="center" wrapText="1"/>
    </xf>
    <xf numFmtId="0" fontId="0" fillId="3" borderId="0" xfId="0" applyFill="1">
      <alignment vertical="center"/>
    </xf>
    <xf numFmtId="0" fontId="0" fillId="0" borderId="0" xfId="0" quotePrefix="1">
      <alignment vertical="center"/>
    </xf>
    <xf numFmtId="0" fontId="0" fillId="0" borderId="1" xfId="0" applyBorder="1" applyAlignment="1">
      <alignment horizontal="right" vertical="center"/>
    </xf>
    <xf numFmtId="0" fontId="0" fillId="0" borderId="0" xfId="0" applyAlignment="1">
      <alignment horizontal="right" vertical="center"/>
    </xf>
    <xf numFmtId="0" fontId="3" fillId="0" borderId="1" xfId="0" applyFont="1"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quotePrefix="1" applyBorder="1" applyAlignment="1">
      <alignment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0" fillId="0" borderId="4" xfId="0" applyBorder="1" applyAlignment="1">
      <alignment horizontal="left" vertical="center"/>
    </xf>
    <xf numFmtId="0" fontId="0" fillId="0" borderId="0" xfId="0" applyAlignment="1">
      <alignment horizontal="left" vertical="center"/>
    </xf>
    <xf numFmtId="0" fontId="0" fillId="0" borderId="3" xfId="0" applyBorder="1" applyAlignment="1">
      <alignment horizontal="left" vertical="center"/>
    </xf>
    <xf numFmtId="0" fontId="0" fillId="0" borderId="0" xfId="0" applyAlignment="1">
      <alignment horizontal="left" vertical="center" wrapText="1"/>
    </xf>
    <xf numFmtId="0" fontId="0" fillId="2" borderId="1" xfId="0" applyFill="1" applyBorder="1" applyAlignment="1">
      <alignment horizontal="left" vertical="center"/>
    </xf>
    <xf numFmtId="0" fontId="2" fillId="2" borderId="1" xfId="0" applyFont="1" applyFill="1" applyBorder="1" applyAlignment="1">
      <alignment horizontal="right" vertical="center"/>
    </xf>
    <xf numFmtId="176" fontId="2" fillId="2" borderId="1" xfId="0" applyNumberFormat="1" applyFont="1" applyFill="1" applyBorder="1">
      <alignment vertical="center"/>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2" xfId="0" quotePrefix="1" applyBorder="1" applyAlignment="1">
      <alignment horizontal="left" vertical="center" wrapText="1"/>
    </xf>
    <xf numFmtId="0" fontId="0" fillId="0" borderId="4" xfId="0" quotePrefix="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6" fillId="0" borderId="1" xfId="0" applyFont="1"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wrapText="1"/>
    </xf>
    <xf numFmtId="0" fontId="7"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7" fillId="0" borderId="1" xfId="0" applyFont="1" applyBorder="1" applyAlignment="1">
      <alignment horizontal="center" vertical="center" wrapText="1"/>
    </xf>
    <xf numFmtId="0" fontId="2" fillId="0" borderId="1" xfId="0" applyFont="1" applyBorder="1" applyAlignment="1">
      <alignment horizontal="center" vertical="center"/>
    </xf>
    <xf numFmtId="0" fontId="2" fillId="2" borderId="2" xfId="0" applyFont="1" applyFill="1" applyBorder="1" applyAlignment="1">
      <alignment horizontal="center" vertical="center"/>
    </xf>
    <xf numFmtId="0" fontId="2" fillId="2" borderId="2" xfId="0" applyFont="1" applyFill="1" applyBorder="1">
      <alignment vertical="center"/>
    </xf>
    <xf numFmtId="0" fontId="0" fillId="2" borderId="4" xfId="0" applyFill="1" applyBorder="1" applyAlignment="1">
      <alignment horizontal="center" vertical="center"/>
    </xf>
    <xf numFmtId="0" fontId="0" fillId="2" borderId="4" xfId="0" applyFill="1" applyBorder="1" applyAlignment="1">
      <alignment horizontal="left" vertical="center"/>
    </xf>
    <xf numFmtId="0" fontId="0" fillId="2" borderId="4" xfId="0" applyFill="1" applyBorder="1">
      <alignment vertical="center"/>
    </xf>
    <xf numFmtId="0" fontId="2" fillId="2" borderId="4" xfId="0" applyFont="1" applyFill="1" applyBorder="1">
      <alignment vertical="center"/>
    </xf>
    <xf numFmtId="0" fontId="8" fillId="0" borderId="1" xfId="0" applyFont="1" applyBorder="1">
      <alignment vertical="center"/>
    </xf>
    <xf numFmtId="0" fontId="8" fillId="0" borderId="1" xfId="0" applyFont="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5DC1F-393C-4AF9-88CB-612CB787492A}">
  <sheetPr>
    <pageSetUpPr fitToPage="1"/>
  </sheetPr>
  <dimension ref="A1:F35"/>
  <sheetViews>
    <sheetView view="pageLayout" zoomScale="90" zoomScaleNormal="100" zoomScaleSheetLayoutView="100" zoomScalePageLayoutView="90" workbookViewId="0">
      <selection activeCell="C11" sqref="C11"/>
    </sheetView>
  </sheetViews>
  <sheetFormatPr defaultRowHeight="16.5" x14ac:dyDescent="0.3"/>
  <cols>
    <col min="1" max="1" width="7.5" customWidth="1"/>
    <col min="2" max="2" width="13.875" customWidth="1"/>
    <col min="3" max="3" width="45.375" customWidth="1"/>
    <col min="4" max="4" width="47" customWidth="1"/>
    <col min="5" max="5" width="46.375" customWidth="1"/>
    <col min="6" max="6" width="39.875" customWidth="1"/>
  </cols>
  <sheetData>
    <row r="1" spans="1:6" x14ac:dyDescent="0.3">
      <c r="A1" s="6" t="s">
        <v>348</v>
      </c>
    </row>
    <row r="2" spans="1:6" x14ac:dyDescent="0.3">
      <c r="A2" s="6"/>
      <c r="B2" t="s">
        <v>326</v>
      </c>
    </row>
    <row r="3" spans="1:6" x14ac:dyDescent="0.3">
      <c r="B3" s="16" t="s">
        <v>337</v>
      </c>
    </row>
    <row r="4" spans="1:6" x14ac:dyDescent="0.3">
      <c r="B4" t="s">
        <v>336</v>
      </c>
    </row>
    <row r="7" spans="1:6" x14ac:dyDescent="0.3">
      <c r="B7" t="s">
        <v>332</v>
      </c>
    </row>
    <row r="8" spans="1:6" x14ac:dyDescent="0.3">
      <c r="B8" s="3" t="s">
        <v>4</v>
      </c>
      <c r="C8" s="3" t="s">
        <v>5</v>
      </c>
      <c r="D8" s="3" t="s">
        <v>340</v>
      </c>
      <c r="E8" s="3" t="s">
        <v>597</v>
      </c>
      <c r="F8" s="3" t="s">
        <v>297</v>
      </c>
    </row>
    <row r="9" spans="1:6" ht="142.5" customHeight="1" x14ac:dyDescent="0.3">
      <c r="B9" s="1" t="s">
        <v>591</v>
      </c>
      <c r="C9" s="2" t="s">
        <v>361</v>
      </c>
      <c r="D9" s="32" t="s">
        <v>364</v>
      </c>
      <c r="E9" s="32" t="s">
        <v>596</v>
      </c>
      <c r="F9" s="34" t="s">
        <v>366</v>
      </c>
    </row>
    <row r="10" spans="1:6" ht="149.25" customHeight="1" x14ac:dyDescent="0.3">
      <c r="B10" s="1" t="s">
        <v>592</v>
      </c>
      <c r="C10" s="19" t="s">
        <v>593</v>
      </c>
      <c r="D10" s="33"/>
      <c r="E10" s="33"/>
      <c r="F10" s="35"/>
    </row>
    <row r="11" spans="1:6" x14ac:dyDescent="0.3">
      <c r="B11" s="3" t="s">
        <v>330</v>
      </c>
      <c r="C11" s="10"/>
      <c r="D11" s="31">
        <f>1446.27*2199+853361</f>
        <v>4033708.73</v>
      </c>
      <c r="E11" s="10"/>
      <c r="F11" s="10" t="s">
        <v>595</v>
      </c>
    </row>
    <row r="14" spans="1:6" x14ac:dyDescent="0.3">
      <c r="B14" t="s">
        <v>335</v>
      </c>
    </row>
    <row r="15" spans="1:6" x14ac:dyDescent="0.3">
      <c r="B15" s="3" t="s">
        <v>294</v>
      </c>
      <c r="C15" s="3" t="s">
        <v>295</v>
      </c>
      <c r="D15" s="3" t="s">
        <v>333</v>
      </c>
      <c r="E15" s="3" t="s">
        <v>334</v>
      </c>
      <c r="F15" s="3" t="s">
        <v>297</v>
      </c>
    </row>
    <row r="16" spans="1:6" x14ac:dyDescent="0.3">
      <c r="B16" s="4">
        <v>1</v>
      </c>
      <c r="C16" s="1" t="s">
        <v>327</v>
      </c>
      <c r="D16" s="1"/>
      <c r="E16" s="1">
        <v>7</v>
      </c>
      <c r="F16" s="1"/>
    </row>
    <row r="17" spans="2:6" ht="171" customHeight="1" x14ac:dyDescent="0.3">
      <c r="B17" s="4">
        <v>2</v>
      </c>
      <c r="C17" s="1" t="s">
        <v>328</v>
      </c>
      <c r="D17" s="2" t="s">
        <v>594</v>
      </c>
      <c r="E17" s="17">
        <v>25</v>
      </c>
      <c r="F17" s="2"/>
    </row>
    <row r="18" spans="2:6" x14ac:dyDescent="0.3">
      <c r="B18" s="4">
        <v>3</v>
      </c>
      <c r="C18" s="1" t="s">
        <v>329</v>
      </c>
      <c r="D18" s="1"/>
      <c r="E18" s="1">
        <v>3</v>
      </c>
      <c r="F18" s="1"/>
    </row>
    <row r="19" spans="2:6" x14ac:dyDescent="0.3">
      <c r="B19" s="3" t="s">
        <v>330</v>
      </c>
      <c r="C19" s="9"/>
      <c r="D19" s="10">
        <v>272</v>
      </c>
      <c r="E19" s="30">
        <f>SUM(E16:E18)</f>
        <v>35</v>
      </c>
      <c r="F19" s="9"/>
    </row>
    <row r="24" spans="2:6" x14ac:dyDescent="0.3">
      <c r="B24" t="s">
        <v>351</v>
      </c>
    </row>
    <row r="25" spans="2:6" ht="146.25" customHeight="1" x14ac:dyDescent="0.3">
      <c r="B25" s="38" t="s">
        <v>347</v>
      </c>
      <c r="C25" s="36"/>
      <c r="D25" s="36"/>
      <c r="E25" s="36"/>
      <c r="F25" s="36"/>
    </row>
    <row r="27" spans="2:6" x14ac:dyDescent="0.3">
      <c r="B27" t="s">
        <v>352</v>
      </c>
    </row>
    <row r="28" spans="2:6" ht="92.25" customHeight="1" x14ac:dyDescent="0.3">
      <c r="B28" s="38" t="s">
        <v>350</v>
      </c>
      <c r="C28" s="36"/>
      <c r="D28" s="36"/>
      <c r="E28" s="36"/>
      <c r="F28" s="36"/>
    </row>
    <row r="30" spans="2:6" x14ac:dyDescent="0.3">
      <c r="B30" t="s">
        <v>354</v>
      </c>
    </row>
    <row r="31" spans="2:6" ht="120" customHeight="1" x14ac:dyDescent="0.3">
      <c r="B31" s="38" t="s">
        <v>355</v>
      </c>
      <c r="C31" s="37"/>
      <c r="D31" s="37"/>
      <c r="E31" s="37"/>
      <c r="F31" s="37"/>
    </row>
    <row r="34" spans="2:6" x14ac:dyDescent="0.3">
      <c r="B34" t="s">
        <v>359</v>
      </c>
    </row>
    <row r="35" spans="2:6" ht="273.75" customHeight="1" x14ac:dyDescent="0.3">
      <c r="B35" s="36" t="s">
        <v>358</v>
      </c>
      <c r="C35" s="37"/>
      <c r="D35" s="37"/>
      <c r="E35" s="37"/>
      <c r="F35" s="37"/>
    </row>
  </sheetData>
  <mergeCells count="7">
    <mergeCell ref="D9:D10"/>
    <mergeCell ref="E9:E10"/>
    <mergeCell ref="F9:F10"/>
    <mergeCell ref="B35:F35"/>
    <mergeCell ref="B25:F25"/>
    <mergeCell ref="B28:F28"/>
    <mergeCell ref="B31:F31"/>
  </mergeCells>
  <phoneticPr fontId="1" type="noConversion"/>
  <pageMargins left="0.7" right="0.7" top="0.75" bottom="0.75" header="0.3" footer="0.3"/>
  <pageSetup paperSize="9" scale="61" fitToHeight="0" orientation="landscape" horizontalDpi="300" verticalDpi="300" r:id="rId1"/>
  <headerFooter>
    <oddHeader>&amp;C&amp;20&amp;UMES 개발&amp;R작성일자: &amp;D &amp;T</oddHeader>
  </headerFooter>
  <rowBreaks count="1" manualBreakCount="1">
    <brk id="23"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51F3-9FA6-4E58-8160-3A6634A3B005}">
  <sheetPr>
    <pageSetUpPr fitToPage="1"/>
  </sheetPr>
  <dimension ref="A1:F34"/>
  <sheetViews>
    <sheetView view="pageLayout" zoomScale="85" zoomScaleNormal="100" zoomScaleSheetLayoutView="100" zoomScalePageLayoutView="85" workbookViewId="0">
      <selection activeCell="E17" sqref="E17"/>
    </sheetView>
  </sheetViews>
  <sheetFormatPr defaultRowHeight="16.5" x14ac:dyDescent="0.3"/>
  <cols>
    <col min="1" max="1" width="6.875" customWidth="1"/>
    <col min="2" max="2" width="20.25" customWidth="1"/>
    <col min="3" max="3" width="45.375" customWidth="1"/>
    <col min="4" max="4" width="52.375" bestFit="1" customWidth="1"/>
    <col min="5" max="5" width="43.25" customWidth="1"/>
    <col min="6" max="6" width="44.75" customWidth="1"/>
  </cols>
  <sheetData>
    <row r="1" spans="1:6" x14ac:dyDescent="0.3">
      <c r="A1" s="6" t="s">
        <v>349</v>
      </c>
    </row>
    <row r="2" spans="1:6" x14ac:dyDescent="0.3">
      <c r="A2" s="6"/>
      <c r="B2" t="s">
        <v>326</v>
      </c>
    </row>
    <row r="3" spans="1:6" x14ac:dyDescent="0.3">
      <c r="B3" s="16" t="s">
        <v>338</v>
      </c>
    </row>
    <row r="4" spans="1:6" x14ac:dyDescent="0.3">
      <c r="B4" t="s">
        <v>339</v>
      </c>
    </row>
    <row r="7" spans="1:6" x14ac:dyDescent="0.3">
      <c r="B7" t="s">
        <v>332</v>
      </c>
    </row>
    <row r="8" spans="1:6" x14ac:dyDescent="0.3">
      <c r="B8" s="3" t="s">
        <v>4</v>
      </c>
      <c r="C8" s="3" t="s">
        <v>5</v>
      </c>
      <c r="D8" s="3" t="s">
        <v>340</v>
      </c>
      <c r="E8" s="3" t="s">
        <v>341</v>
      </c>
      <c r="F8" s="3" t="s">
        <v>297</v>
      </c>
    </row>
    <row r="9" spans="1:6" ht="99" x14ac:dyDescent="0.3">
      <c r="B9" s="1" t="s">
        <v>1</v>
      </c>
      <c r="C9" s="19" t="s">
        <v>362</v>
      </c>
      <c r="D9" s="32" t="s">
        <v>365</v>
      </c>
      <c r="E9" s="32" t="s">
        <v>360</v>
      </c>
      <c r="F9" s="34" t="s">
        <v>367</v>
      </c>
    </row>
    <row r="10" spans="1:6" ht="99" x14ac:dyDescent="0.3">
      <c r="B10" s="1" t="s">
        <v>2</v>
      </c>
      <c r="C10" s="19" t="s">
        <v>363</v>
      </c>
      <c r="D10" s="39"/>
      <c r="E10" s="39"/>
      <c r="F10" s="39"/>
    </row>
    <row r="11" spans="1:6" x14ac:dyDescent="0.3">
      <c r="B11" s="1" t="s">
        <v>3</v>
      </c>
      <c r="C11" s="2" t="s">
        <v>353</v>
      </c>
      <c r="D11" s="33"/>
      <c r="E11" s="33"/>
      <c r="F11" s="33"/>
    </row>
    <row r="14" spans="1:6" x14ac:dyDescent="0.3">
      <c r="B14" t="s">
        <v>335</v>
      </c>
    </row>
    <row r="15" spans="1:6" x14ac:dyDescent="0.3">
      <c r="B15" s="3" t="s">
        <v>294</v>
      </c>
      <c r="C15" s="3" t="s">
        <v>295</v>
      </c>
      <c r="D15" s="3" t="s">
        <v>333</v>
      </c>
      <c r="E15" s="3" t="s">
        <v>334</v>
      </c>
      <c r="F15" s="3" t="s">
        <v>297</v>
      </c>
    </row>
    <row r="16" spans="1:6" x14ac:dyDescent="0.3">
      <c r="B16" s="4">
        <v>1</v>
      </c>
      <c r="C16" s="1" t="s">
        <v>327</v>
      </c>
      <c r="D16" s="1"/>
      <c r="E16" s="1">
        <v>7</v>
      </c>
      <c r="F16" s="1"/>
    </row>
    <row r="17" spans="2:6" ht="212.25" customHeight="1" x14ac:dyDescent="0.3">
      <c r="B17" s="4">
        <v>2</v>
      </c>
      <c r="C17" s="1" t="s">
        <v>342</v>
      </c>
      <c r="D17" s="2" t="s">
        <v>369</v>
      </c>
      <c r="E17" s="17">
        <v>70</v>
      </c>
      <c r="F17" s="2"/>
    </row>
    <row r="18" spans="2:6" x14ac:dyDescent="0.3">
      <c r="B18" s="4">
        <v>3</v>
      </c>
      <c r="C18" s="1" t="s">
        <v>329</v>
      </c>
      <c r="D18" s="1"/>
      <c r="E18" s="1">
        <v>3</v>
      </c>
      <c r="F18" s="1"/>
    </row>
    <row r="19" spans="2:6" x14ac:dyDescent="0.3">
      <c r="B19" s="5" t="s">
        <v>330</v>
      </c>
      <c r="E19" s="18">
        <f>SUM(E16:E18)</f>
        <v>80</v>
      </c>
    </row>
    <row r="24" spans="2:6" x14ac:dyDescent="0.3">
      <c r="B24" t="s">
        <v>356</v>
      </c>
    </row>
    <row r="25" spans="2:6" ht="143.25" customHeight="1" x14ac:dyDescent="0.3">
      <c r="B25" s="38" t="s">
        <v>347</v>
      </c>
      <c r="C25" s="36"/>
      <c r="D25" s="36"/>
      <c r="E25" s="36"/>
      <c r="F25" s="36"/>
    </row>
    <row r="27" spans="2:6" x14ac:dyDescent="0.3">
      <c r="B27" t="s">
        <v>352</v>
      </c>
    </row>
    <row r="28" spans="2:6" ht="90" customHeight="1" x14ac:dyDescent="0.3">
      <c r="B28" s="38" t="s">
        <v>350</v>
      </c>
      <c r="C28" s="36"/>
      <c r="D28" s="36"/>
      <c r="E28" s="36"/>
      <c r="F28" s="36"/>
    </row>
    <row r="30" spans="2:6" x14ac:dyDescent="0.3">
      <c r="B30" t="s">
        <v>354</v>
      </c>
    </row>
    <row r="31" spans="2:6" ht="110.25" customHeight="1" x14ac:dyDescent="0.3">
      <c r="B31" s="38" t="s">
        <v>355</v>
      </c>
      <c r="C31" s="37"/>
      <c r="D31" s="37"/>
      <c r="E31" s="37"/>
      <c r="F31" s="37"/>
    </row>
    <row r="33" spans="2:6" x14ac:dyDescent="0.3">
      <c r="B33" t="s">
        <v>359</v>
      </c>
    </row>
    <row r="34" spans="2:6" ht="273.75" customHeight="1" x14ac:dyDescent="0.3">
      <c r="B34" s="36" t="s">
        <v>358</v>
      </c>
      <c r="C34" s="37"/>
      <c r="D34" s="37"/>
      <c r="E34" s="37"/>
      <c r="F34" s="37"/>
    </row>
  </sheetData>
  <mergeCells count="7">
    <mergeCell ref="B31:F31"/>
    <mergeCell ref="B34:F34"/>
    <mergeCell ref="D9:D11"/>
    <mergeCell ref="E9:E11"/>
    <mergeCell ref="F9:F11"/>
    <mergeCell ref="B25:F25"/>
    <mergeCell ref="B28:F28"/>
  </mergeCells>
  <phoneticPr fontId="1" type="noConversion"/>
  <pageMargins left="0.7" right="0.7" top="0.75" bottom="0.75" header="0.3" footer="0.3"/>
  <pageSetup paperSize="9" scale="57" fitToHeight="0" orientation="landscape" horizontalDpi="300" verticalDpi="300" r:id="rId1"/>
  <headerFooter>
    <oddHeader>&amp;C&amp;20&amp;UMES 개발&amp;R작성일자: &amp;D &amp;T</oddHeader>
  </headerFooter>
  <rowBreaks count="1" manualBreakCount="1">
    <brk id="23"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1BEE8-5776-4C17-A6E2-63B61DD50D7B}">
  <dimension ref="A1:F34"/>
  <sheetViews>
    <sheetView view="pageBreakPreview" topLeftCell="A11" zoomScaleNormal="100" zoomScaleSheetLayoutView="100" workbookViewId="0">
      <selection activeCell="C19" sqref="C19"/>
    </sheetView>
  </sheetViews>
  <sheetFormatPr defaultRowHeight="16.5" x14ac:dyDescent="0.3"/>
  <cols>
    <col min="1" max="1" width="7" customWidth="1"/>
    <col min="2" max="2" width="20.25" customWidth="1"/>
    <col min="3" max="3" width="45.375" customWidth="1"/>
    <col min="4" max="4" width="52.375" bestFit="1" customWidth="1"/>
    <col min="5" max="5" width="43.25" customWidth="1"/>
    <col min="6" max="6" width="42.875" customWidth="1"/>
  </cols>
  <sheetData>
    <row r="1" spans="1:6" x14ac:dyDescent="0.3">
      <c r="A1" s="6" t="s">
        <v>331</v>
      </c>
    </row>
    <row r="2" spans="1:6" x14ac:dyDescent="0.3">
      <c r="A2" s="6"/>
      <c r="B2" t="s">
        <v>326</v>
      </c>
    </row>
    <row r="3" spans="1:6" x14ac:dyDescent="0.3">
      <c r="B3" s="16" t="s">
        <v>338</v>
      </c>
    </row>
    <row r="4" spans="1:6" x14ac:dyDescent="0.3">
      <c r="B4" t="s">
        <v>339</v>
      </c>
    </row>
    <row r="7" spans="1:6" x14ac:dyDescent="0.3">
      <c r="B7" t="s">
        <v>332</v>
      </c>
    </row>
    <row r="8" spans="1:6" x14ac:dyDescent="0.3">
      <c r="B8" s="3" t="s">
        <v>4</v>
      </c>
      <c r="C8" s="3" t="s">
        <v>5</v>
      </c>
      <c r="D8" s="3" t="s">
        <v>340</v>
      </c>
      <c r="E8" s="3" t="s">
        <v>341</v>
      </c>
      <c r="F8" s="3" t="s">
        <v>297</v>
      </c>
    </row>
    <row r="9" spans="1:6" ht="99" x14ac:dyDescent="0.3">
      <c r="B9" s="1" t="s">
        <v>1</v>
      </c>
      <c r="C9" s="19" t="s">
        <v>362</v>
      </c>
      <c r="D9" s="32" t="s">
        <v>357</v>
      </c>
      <c r="E9" s="32" t="s">
        <v>360</v>
      </c>
      <c r="F9" s="34" t="s">
        <v>368</v>
      </c>
    </row>
    <row r="10" spans="1:6" ht="99" x14ac:dyDescent="0.3">
      <c r="B10" s="1" t="s">
        <v>2</v>
      </c>
      <c r="C10" s="19" t="s">
        <v>363</v>
      </c>
      <c r="D10" s="39"/>
      <c r="E10" s="39"/>
      <c r="F10" s="39"/>
    </row>
    <row r="11" spans="1:6" x14ac:dyDescent="0.3">
      <c r="B11" s="1" t="s">
        <v>3</v>
      </c>
      <c r="C11" s="2" t="s">
        <v>353</v>
      </c>
      <c r="D11" s="33"/>
      <c r="E11" s="33"/>
      <c r="F11" s="33"/>
    </row>
    <row r="14" spans="1:6" x14ac:dyDescent="0.3">
      <c r="B14" t="s">
        <v>335</v>
      </c>
    </row>
    <row r="15" spans="1:6" x14ac:dyDescent="0.3">
      <c r="B15" s="3" t="s">
        <v>294</v>
      </c>
      <c r="C15" s="3" t="s">
        <v>295</v>
      </c>
      <c r="D15" s="3" t="s">
        <v>333</v>
      </c>
      <c r="E15" s="3" t="s">
        <v>334</v>
      </c>
      <c r="F15" s="3" t="s">
        <v>297</v>
      </c>
    </row>
    <row r="16" spans="1:6" x14ac:dyDescent="0.3">
      <c r="B16" s="4">
        <v>1</v>
      </c>
      <c r="C16" s="1" t="s">
        <v>344</v>
      </c>
      <c r="D16" s="1"/>
      <c r="E16" s="1">
        <v>7</v>
      </c>
      <c r="F16" s="1"/>
    </row>
    <row r="17" spans="2:6" ht="49.5" x14ac:dyDescent="0.3">
      <c r="B17" s="4">
        <v>2</v>
      </c>
      <c r="C17" s="1" t="s">
        <v>343</v>
      </c>
      <c r="D17" s="2" t="s">
        <v>370</v>
      </c>
      <c r="E17" s="1">
        <v>30</v>
      </c>
      <c r="F17" s="1"/>
    </row>
    <row r="18" spans="2:6" ht="198" x14ac:dyDescent="0.3">
      <c r="B18" s="4">
        <v>3</v>
      </c>
      <c r="C18" s="1" t="s">
        <v>300</v>
      </c>
      <c r="D18" s="2" t="s">
        <v>371</v>
      </c>
      <c r="E18" s="17">
        <v>80</v>
      </c>
      <c r="F18" s="2"/>
    </row>
    <row r="19" spans="2:6" ht="49.5" x14ac:dyDescent="0.3">
      <c r="B19" s="4">
        <v>4</v>
      </c>
      <c r="C19" s="1" t="s">
        <v>345</v>
      </c>
      <c r="D19" s="2" t="s">
        <v>346</v>
      </c>
      <c r="E19" s="17">
        <v>14</v>
      </c>
      <c r="F19" s="2"/>
    </row>
    <row r="20" spans="2:6" x14ac:dyDescent="0.3">
      <c r="B20" s="4">
        <v>5</v>
      </c>
      <c r="C20" s="1" t="s">
        <v>329</v>
      </c>
      <c r="D20" s="1"/>
      <c r="E20" s="1">
        <v>3</v>
      </c>
      <c r="F20" s="1"/>
    </row>
    <row r="21" spans="2:6" x14ac:dyDescent="0.3">
      <c r="B21" s="5" t="s">
        <v>330</v>
      </c>
      <c r="E21" s="18">
        <f>SUM(E16:E20)</f>
        <v>134</v>
      </c>
    </row>
    <row r="25" spans="2:6" x14ac:dyDescent="0.3">
      <c r="B25" t="s">
        <v>356</v>
      </c>
    </row>
    <row r="26" spans="2:6" ht="153.75" customHeight="1" x14ac:dyDescent="0.3">
      <c r="B26" s="40" t="s">
        <v>347</v>
      </c>
      <c r="C26" s="40"/>
      <c r="D26" s="40"/>
      <c r="E26" s="40"/>
      <c r="F26" s="40"/>
    </row>
    <row r="29" spans="2:6" x14ac:dyDescent="0.3">
      <c r="B29" t="s">
        <v>352</v>
      </c>
    </row>
    <row r="30" spans="2:6" ht="90" customHeight="1" x14ac:dyDescent="0.3">
      <c r="B30" s="40" t="s">
        <v>350</v>
      </c>
      <c r="C30" s="40"/>
      <c r="D30" s="40"/>
      <c r="E30" s="40"/>
      <c r="F30" s="40"/>
    </row>
    <row r="33" spans="2:6" x14ac:dyDescent="0.3">
      <c r="B33" t="s">
        <v>354</v>
      </c>
    </row>
    <row r="34" spans="2:6" ht="110.25" customHeight="1" x14ac:dyDescent="0.3">
      <c r="B34" s="40" t="s">
        <v>355</v>
      </c>
      <c r="C34" s="41"/>
      <c r="D34" s="41"/>
      <c r="E34" s="41"/>
      <c r="F34" s="41"/>
    </row>
  </sheetData>
  <mergeCells count="6">
    <mergeCell ref="B34:F34"/>
    <mergeCell ref="D9:D11"/>
    <mergeCell ref="E9:E11"/>
    <mergeCell ref="F9:F11"/>
    <mergeCell ref="B26:F26"/>
    <mergeCell ref="B30:F30"/>
  </mergeCells>
  <phoneticPr fontId="1" type="noConversion"/>
  <pageMargins left="0.7" right="0.7" top="0.75" bottom="0.75" header="0.3" footer="0.3"/>
  <pageSetup paperSize="9" scale="38"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73663-D04C-48E6-B6BF-A62E2C53C731}">
  <dimension ref="A1:H275"/>
  <sheetViews>
    <sheetView tabSelected="1" topLeftCell="C245" zoomScaleNormal="100" workbookViewId="0">
      <selection activeCell="E265" sqref="E265"/>
    </sheetView>
  </sheetViews>
  <sheetFormatPr defaultRowHeight="16.5" x14ac:dyDescent="0.3"/>
  <cols>
    <col min="1" max="1" width="17.25" style="26" customWidth="1"/>
    <col min="2" max="2" width="21.375" style="26" bestFit="1" customWidth="1"/>
    <col min="3" max="3" width="23.125" style="26" customWidth="1"/>
    <col min="4" max="4" width="23.5" style="26" bestFit="1" customWidth="1"/>
    <col min="5" max="5" width="62" bestFit="1" customWidth="1"/>
    <col min="6" max="6" width="11.25" customWidth="1"/>
    <col min="7" max="7" width="13.25" bestFit="1" customWidth="1"/>
    <col min="8" max="8" width="13" bestFit="1" customWidth="1"/>
  </cols>
  <sheetData>
    <row r="1" spans="1:8" x14ac:dyDescent="0.3">
      <c r="A1" s="3" t="s">
        <v>7</v>
      </c>
      <c r="B1" s="3" t="s">
        <v>410</v>
      </c>
      <c r="C1" s="3" t="s">
        <v>411</v>
      </c>
      <c r="D1" s="3" t="s">
        <v>412</v>
      </c>
      <c r="E1" s="3" t="s">
        <v>9</v>
      </c>
      <c r="F1" s="3" t="s">
        <v>284</v>
      </c>
      <c r="G1" s="12" t="s">
        <v>589</v>
      </c>
      <c r="H1" s="10" t="s">
        <v>590</v>
      </c>
    </row>
    <row r="2" spans="1:8" x14ac:dyDescent="0.3">
      <c r="A2" s="42" t="s">
        <v>588</v>
      </c>
      <c r="B2" s="42" t="s">
        <v>403</v>
      </c>
      <c r="C2" s="42" t="s">
        <v>10</v>
      </c>
      <c r="D2" s="21" t="s">
        <v>11</v>
      </c>
      <c r="E2" s="1" t="s">
        <v>221</v>
      </c>
      <c r="F2" s="1">
        <v>1</v>
      </c>
      <c r="G2" s="1"/>
      <c r="H2" s="1"/>
    </row>
    <row r="3" spans="1:8" x14ac:dyDescent="0.3">
      <c r="A3" s="43"/>
      <c r="B3" s="43"/>
      <c r="C3" s="43"/>
      <c r="D3" s="21" t="s">
        <v>12</v>
      </c>
      <c r="E3" s="1" t="s">
        <v>222</v>
      </c>
      <c r="F3" s="1">
        <v>1</v>
      </c>
      <c r="G3" s="1"/>
      <c r="H3" s="1"/>
    </row>
    <row r="4" spans="1:8" x14ac:dyDescent="0.3">
      <c r="A4" s="43"/>
      <c r="B4" s="43"/>
      <c r="C4" s="43"/>
      <c r="D4" s="21" t="s">
        <v>13</v>
      </c>
      <c r="E4" s="1" t="s">
        <v>223</v>
      </c>
      <c r="F4" s="1">
        <v>1</v>
      </c>
      <c r="G4" s="1"/>
      <c r="H4" s="1"/>
    </row>
    <row r="5" spans="1:8" x14ac:dyDescent="0.3">
      <c r="A5" s="43"/>
      <c r="B5" s="43"/>
      <c r="C5" s="43"/>
      <c r="D5" s="21" t="s">
        <v>14</v>
      </c>
      <c r="E5" s="1" t="s">
        <v>224</v>
      </c>
      <c r="F5" s="1">
        <v>1</v>
      </c>
      <c r="G5" s="1"/>
      <c r="H5" s="1"/>
    </row>
    <row r="6" spans="1:8" x14ac:dyDescent="0.3">
      <c r="A6" s="43"/>
      <c r="B6" s="43"/>
      <c r="C6" s="43"/>
      <c r="D6" s="21" t="s">
        <v>15</v>
      </c>
      <c r="E6" s="1" t="s">
        <v>225</v>
      </c>
      <c r="F6" s="1">
        <v>1</v>
      </c>
      <c r="G6" s="1"/>
      <c r="H6" s="1"/>
    </row>
    <row r="7" spans="1:8" x14ac:dyDescent="0.3">
      <c r="A7" s="43"/>
      <c r="B7" s="43"/>
      <c r="C7" s="43"/>
      <c r="D7" s="21" t="s">
        <v>16</v>
      </c>
      <c r="E7" s="1" t="s">
        <v>226</v>
      </c>
      <c r="F7" s="1">
        <v>1</v>
      </c>
      <c r="G7" s="1"/>
      <c r="H7" s="1"/>
    </row>
    <row r="8" spans="1:8" x14ac:dyDescent="0.3">
      <c r="A8" s="43"/>
      <c r="B8" s="43"/>
      <c r="C8" s="43"/>
      <c r="D8" s="21" t="s">
        <v>17</v>
      </c>
      <c r="E8" s="1" t="s">
        <v>227</v>
      </c>
      <c r="F8" s="1">
        <v>1</v>
      </c>
      <c r="G8" s="1"/>
      <c r="H8" s="1"/>
    </row>
    <row r="9" spans="1:8" x14ac:dyDescent="0.3">
      <c r="A9" s="43"/>
      <c r="B9" s="43"/>
      <c r="C9" s="43"/>
      <c r="D9" s="21" t="s">
        <v>18</v>
      </c>
      <c r="E9" s="1" t="s">
        <v>228</v>
      </c>
      <c r="F9" s="1">
        <v>1</v>
      </c>
      <c r="G9" s="1"/>
      <c r="H9" s="1"/>
    </row>
    <row r="10" spans="1:8" x14ac:dyDescent="0.3">
      <c r="A10" s="43"/>
      <c r="B10" s="43"/>
      <c r="C10" s="44"/>
      <c r="D10" s="21" t="s">
        <v>19</v>
      </c>
      <c r="E10" s="1" t="s">
        <v>229</v>
      </c>
      <c r="F10" s="1">
        <v>1</v>
      </c>
      <c r="G10" s="1"/>
      <c r="H10" s="1"/>
    </row>
    <row r="11" spans="1:8" x14ac:dyDescent="0.3">
      <c r="A11" s="43"/>
      <c r="B11" s="43"/>
      <c r="C11" s="42" t="s">
        <v>31</v>
      </c>
      <c r="D11" s="21" t="s">
        <v>20</v>
      </c>
      <c r="E11" s="1" t="s">
        <v>230</v>
      </c>
      <c r="F11" s="1">
        <v>1</v>
      </c>
      <c r="G11" s="1"/>
      <c r="H11" s="1"/>
    </row>
    <row r="12" spans="1:8" x14ac:dyDescent="0.3">
      <c r="A12" s="43"/>
      <c r="B12" s="43"/>
      <c r="C12" s="43"/>
      <c r="D12" s="21" t="s">
        <v>21</v>
      </c>
      <c r="E12" s="1" t="s">
        <v>231</v>
      </c>
      <c r="F12" s="1">
        <v>1</v>
      </c>
      <c r="G12" s="1"/>
      <c r="H12" s="1"/>
    </row>
    <row r="13" spans="1:8" x14ac:dyDescent="0.3">
      <c r="A13" s="43"/>
      <c r="B13" s="43"/>
      <c r="C13" s="43"/>
      <c r="D13" s="21" t="s">
        <v>22</v>
      </c>
      <c r="E13" s="1" t="s">
        <v>232</v>
      </c>
      <c r="F13" s="1">
        <v>1</v>
      </c>
      <c r="G13" s="1"/>
      <c r="H13" s="1"/>
    </row>
    <row r="14" spans="1:8" x14ac:dyDescent="0.3">
      <c r="A14" s="43"/>
      <c r="B14" s="43"/>
      <c r="C14" s="43"/>
      <c r="D14" s="21" t="s">
        <v>23</v>
      </c>
      <c r="E14" s="1" t="s">
        <v>233</v>
      </c>
      <c r="F14" s="1">
        <v>1</v>
      </c>
      <c r="G14" s="1"/>
      <c r="H14" s="1"/>
    </row>
    <row r="15" spans="1:8" x14ac:dyDescent="0.3">
      <c r="A15" s="43"/>
      <c r="B15" s="43"/>
      <c r="C15" s="43"/>
      <c r="D15" s="21" t="s">
        <v>24</v>
      </c>
      <c r="E15" s="1" t="s">
        <v>234</v>
      </c>
      <c r="F15" s="1">
        <v>1</v>
      </c>
      <c r="G15" s="1"/>
      <c r="H15" s="1"/>
    </row>
    <row r="16" spans="1:8" x14ac:dyDescent="0.3">
      <c r="A16" s="43"/>
      <c r="B16" s="43"/>
      <c r="C16" s="43"/>
      <c r="D16" s="21" t="s">
        <v>25</v>
      </c>
      <c r="E16" s="1" t="s">
        <v>235</v>
      </c>
      <c r="F16" s="1">
        <v>1</v>
      </c>
      <c r="G16" s="1"/>
      <c r="H16" s="1"/>
    </row>
    <row r="17" spans="1:8" x14ac:dyDescent="0.3">
      <c r="A17" s="43"/>
      <c r="B17" s="43"/>
      <c r="C17" s="43"/>
      <c r="D17" s="21" t="s">
        <v>26</v>
      </c>
      <c r="E17" s="1" t="s">
        <v>236</v>
      </c>
      <c r="F17" s="1">
        <v>1</v>
      </c>
      <c r="G17" s="1"/>
      <c r="H17" s="1"/>
    </row>
    <row r="18" spans="1:8" x14ac:dyDescent="0.3">
      <c r="A18" s="43"/>
      <c r="B18" s="43"/>
      <c r="C18" s="43"/>
      <c r="D18" s="21" t="s">
        <v>27</v>
      </c>
      <c r="E18" s="1" t="s">
        <v>237</v>
      </c>
      <c r="F18" s="1">
        <v>1</v>
      </c>
      <c r="G18" s="1"/>
      <c r="H18" s="1"/>
    </row>
    <row r="19" spans="1:8" x14ac:dyDescent="0.3">
      <c r="A19" s="43"/>
      <c r="B19" s="43"/>
      <c r="C19" s="43"/>
      <c r="D19" s="21" t="s">
        <v>28</v>
      </c>
      <c r="E19" s="1" t="s">
        <v>238</v>
      </c>
      <c r="F19" s="1">
        <v>1</v>
      </c>
      <c r="G19" s="1"/>
      <c r="H19" s="1"/>
    </row>
    <row r="20" spans="1:8" x14ac:dyDescent="0.3">
      <c r="A20" s="43"/>
      <c r="B20" s="43"/>
      <c r="C20" s="43"/>
      <c r="D20" s="21" t="s">
        <v>32</v>
      </c>
      <c r="E20" s="1" t="s">
        <v>241</v>
      </c>
      <c r="F20" s="1">
        <v>1</v>
      </c>
      <c r="G20" s="1"/>
      <c r="H20" s="1"/>
    </row>
    <row r="21" spans="1:8" x14ac:dyDescent="0.3">
      <c r="A21" s="43"/>
      <c r="B21" s="43"/>
      <c r="C21" s="44"/>
      <c r="D21" s="21" t="s">
        <v>33</v>
      </c>
      <c r="E21" s="1" t="s">
        <v>242</v>
      </c>
      <c r="F21" s="1">
        <v>1</v>
      </c>
      <c r="G21" s="1"/>
      <c r="H21" s="1"/>
    </row>
    <row r="22" spans="1:8" x14ac:dyDescent="0.3">
      <c r="A22" s="43"/>
      <c r="B22" s="43"/>
      <c r="C22" s="42" t="s">
        <v>36</v>
      </c>
      <c r="D22" s="21" t="s">
        <v>34</v>
      </c>
      <c r="E22" s="1" t="s">
        <v>243</v>
      </c>
      <c r="F22" s="1">
        <v>1</v>
      </c>
      <c r="G22" s="1"/>
      <c r="H22" s="1"/>
    </row>
    <row r="23" spans="1:8" x14ac:dyDescent="0.3">
      <c r="A23" s="43"/>
      <c r="B23" s="43"/>
      <c r="C23" s="44"/>
      <c r="D23" s="21" t="s">
        <v>35</v>
      </c>
      <c r="E23" s="1" t="s">
        <v>244</v>
      </c>
      <c r="F23" s="1">
        <v>1</v>
      </c>
      <c r="G23" s="1"/>
      <c r="H23" s="1"/>
    </row>
    <row r="24" spans="1:8" x14ac:dyDescent="0.3">
      <c r="A24" s="43"/>
      <c r="B24" s="43"/>
      <c r="C24" s="41" t="s">
        <v>37</v>
      </c>
      <c r="D24" s="21" t="s">
        <v>38</v>
      </c>
      <c r="E24" s="1" t="s">
        <v>245</v>
      </c>
      <c r="F24" s="1">
        <v>1</v>
      </c>
      <c r="G24" s="1"/>
      <c r="H24" s="1"/>
    </row>
    <row r="25" spans="1:8" x14ac:dyDescent="0.3">
      <c r="A25" s="43"/>
      <c r="B25" s="43"/>
      <c r="C25" s="41"/>
      <c r="D25" s="21" t="s">
        <v>39</v>
      </c>
      <c r="E25" s="1" t="s">
        <v>246</v>
      </c>
      <c r="F25" s="1">
        <v>1</v>
      </c>
      <c r="G25" s="1"/>
      <c r="H25" s="1"/>
    </row>
    <row r="26" spans="1:8" x14ac:dyDescent="0.3">
      <c r="A26" s="43"/>
      <c r="B26" s="43"/>
      <c r="C26" s="41"/>
      <c r="D26" s="21" t="s">
        <v>40</v>
      </c>
      <c r="E26" s="1" t="s">
        <v>247</v>
      </c>
      <c r="F26" s="1">
        <v>1</v>
      </c>
      <c r="G26" s="1"/>
      <c r="H26" s="1"/>
    </row>
    <row r="27" spans="1:8" x14ac:dyDescent="0.3">
      <c r="A27" s="43"/>
      <c r="B27" s="43"/>
      <c r="C27" s="41"/>
      <c r="D27" s="21" t="s">
        <v>41</v>
      </c>
      <c r="E27" s="1" t="s">
        <v>248</v>
      </c>
      <c r="F27" s="1">
        <v>1</v>
      </c>
      <c r="G27" s="1"/>
      <c r="H27" s="1"/>
    </row>
    <row r="28" spans="1:8" x14ac:dyDescent="0.3">
      <c r="A28" s="43"/>
      <c r="B28" s="43"/>
      <c r="C28" s="41"/>
      <c r="D28" s="21" t="s">
        <v>42</v>
      </c>
      <c r="E28" s="1" t="s">
        <v>249</v>
      </c>
      <c r="F28" s="1">
        <v>1</v>
      </c>
      <c r="G28" s="1"/>
      <c r="H28" s="1"/>
    </row>
    <row r="29" spans="1:8" x14ac:dyDescent="0.3">
      <c r="A29" s="43"/>
      <c r="B29" s="43"/>
      <c r="C29" s="41"/>
      <c r="D29" s="21" t="s">
        <v>43</v>
      </c>
      <c r="E29" s="1" t="s">
        <v>250</v>
      </c>
      <c r="F29" s="1">
        <v>1</v>
      </c>
      <c r="G29" s="1"/>
      <c r="H29" s="1"/>
    </row>
    <row r="30" spans="1:8" x14ac:dyDescent="0.3">
      <c r="A30" s="43"/>
      <c r="B30" s="43"/>
      <c r="C30" s="41"/>
      <c r="D30" s="21" t="s">
        <v>44</v>
      </c>
      <c r="E30" s="1" t="s">
        <v>251</v>
      </c>
      <c r="F30" s="1">
        <v>1</v>
      </c>
      <c r="G30" s="1"/>
      <c r="H30" s="1"/>
    </row>
    <row r="31" spans="1:8" x14ac:dyDescent="0.3">
      <c r="A31" s="43"/>
      <c r="B31" s="43"/>
      <c r="C31" s="42" t="s">
        <v>50</v>
      </c>
      <c r="D31" s="21" t="s">
        <v>46</v>
      </c>
      <c r="E31" s="1" t="s">
        <v>253</v>
      </c>
      <c r="F31" s="1">
        <v>1</v>
      </c>
      <c r="G31" s="1"/>
      <c r="H31" s="1"/>
    </row>
    <row r="32" spans="1:8" x14ac:dyDescent="0.3">
      <c r="A32" s="43"/>
      <c r="B32" s="43"/>
      <c r="C32" s="43"/>
      <c r="D32" s="21" t="s">
        <v>47</v>
      </c>
      <c r="E32" s="1" t="s">
        <v>254</v>
      </c>
      <c r="F32" s="1">
        <v>1</v>
      </c>
      <c r="G32" s="1"/>
      <c r="H32" s="1"/>
    </row>
    <row r="33" spans="1:8" x14ac:dyDescent="0.3">
      <c r="A33" s="43"/>
      <c r="B33" s="43"/>
      <c r="C33" s="43"/>
      <c r="D33" s="21" t="s">
        <v>413</v>
      </c>
      <c r="E33" s="1" t="s">
        <v>255</v>
      </c>
      <c r="F33" s="1">
        <v>1</v>
      </c>
      <c r="G33" s="1"/>
      <c r="H33" s="1"/>
    </row>
    <row r="34" spans="1:8" x14ac:dyDescent="0.3">
      <c r="A34" s="43"/>
      <c r="B34" s="44"/>
      <c r="C34" s="44"/>
      <c r="D34" s="21" t="s">
        <v>379</v>
      </c>
      <c r="E34" s="1" t="s">
        <v>256</v>
      </c>
      <c r="F34" s="1">
        <v>1</v>
      </c>
      <c r="G34" s="11">
        <f>SUM(F2:F34)</f>
        <v>33</v>
      </c>
      <c r="H34" s="1"/>
    </row>
    <row r="35" spans="1:8" x14ac:dyDescent="0.3">
      <c r="A35" s="43"/>
      <c r="B35" s="42" t="s">
        <v>414</v>
      </c>
      <c r="C35" s="42" t="s">
        <v>54</v>
      </c>
      <c r="D35" s="21" t="s">
        <v>51</v>
      </c>
      <c r="E35" s="1" t="s">
        <v>257</v>
      </c>
      <c r="F35" s="1">
        <v>1</v>
      </c>
      <c r="G35" s="1"/>
      <c r="H35" s="1"/>
    </row>
    <row r="36" spans="1:8" x14ac:dyDescent="0.3">
      <c r="A36" s="43"/>
      <c r="B36" s="43"/>
      <c r="C36" s="43"/>
      <c r="D36" s="21" t="s">
        <v>415</v>
      </c>
      <c r="E36" s="1"/>
      <c r="F36" s="1">
        <v>1</v>
      </c>
      <c r="G36" s="1"/>
      <c r="H36" s="1"/>
    </row>
    <row r="37" spans="1:8" x14ac:dyDescent="0.3">
      <c r="A37" s="43"/>
      <c r="B37" s="43"/>
      <c r="C37" s="43"/>
      <c r="D37" s="21" t="s">
        <v>416</v>
      </c>
      <c r="E37" s="1"/>
      <c r="F37" s="1">
        <v>1</v>
      </c>
      <c r="G37" s="1"/>
      <c r="H37" s="1"/>
    </row>
    <row r="38" spans="1:8" x14ac:dyDescent="0.3">
      <c r="A38" s="43"/>
      <c r="B38" s="43"/>
      <c r="C38" s="43"/>
      <c r="D38" s="21" t="s">
        <v>417</v>
      </c>
      <c r="E38" s="1"/>
      <c r="F38" s="1">
        <v>1</v>
      </c>
      <c r="G38" s="1"/>
      <c r="H38" s="1"/>
    </row>
    <row r="39" spans="1:8" x14ac:dyDescent="0.3">
      <c r="A39" s="43"/>
      <c r="B39" s="43"/>
      <c r="C39" s="43"/>
      <c r="D39" s="21" t="s">
        <v>418</v>
      </c>
      <c r="E39" s="1"/>
      <c r="F39" s="1">
        <v>1</v>
      </c>
      <c r="G39" s="1"/>
      <c r="H39" s="1"/>
    </row>
    <row r="40" spans="1:8" x14ac:dyDescent="0.3">
      <c r="A40" s="43"/>
      <c r="B40" s="43"/>
      <c r="C40" s="42" t="s">
        <v>74</v>
      </c>
      <c r="D40" s="21" t="s">
        <v>419</v>
      </c>
      <c r="E40" s="1" t="s">
        <v>259</v>
      </c>
      <c r="F40" s="1">
        <v>1</v>
      </c>
      <c r="G40" s="1"/>
      <c r="H40" s="1"/>
    </row>
    <row r="41" spans="1:8" x14ac:dyDescent="0.3">
      <c r="A41" s="43"/>
      <c r="B41" s="43"/>
      <c r="C41" s="43"/>
      <c r="D41" s="21" t="s">
        <v>56</v>
      </c>
      <c r="E41" s="1" t="s">
        <v>260</v>
      </c>
      <c r="F41" s="1">
        <v>1</v>
      </c>
      <c r="G41" s="1"/>
      <c r="H41" s="1"/>
    </row>
    <row r="42" spans="1:8" x14ac:dyDescent="0.3">
      <c r="A42" s="43"/>
      <c r="B42" s="43"/>
      <c r="C42" s="43"/>
      <c r="D42" s="21" t="s">
        <v>57</v>
      </c>
      <c r="E42" s="1" t="s">
        <v>261</v>
      </c>
      <c r="F42" s="1">
        <v>1</v>
      </c>
      <c r="G42" s="1"/>
      <c r="H42" s="1"/>
    </row>
    <row r="43" spans="1:8" x14ac:dyDescent="0.3">
      <c r="A43" s="43"/>
      <c r="B43" s="43"/>
      <c r="C43" s="43"/>
      <c r="D43" s="21" t="s">
        <v>58</v>
      </c>
      <c r="E43" s="1" t="s">
        <v>262</v>
      </c>
      <c r="F43" s="1">
        <v>1</v>
      </c>
      <c r="G43" s="1"/>
      <c r="H43" s="1"/>
    </row>
    <row r="44" spans="1:8" x14ac:dyDescent="0.3">
      <c r="A44" s="43"/>
      <c r="B44" s="43"/>
      <c r="C44" s="43"/>
      <c r="D44" s="21" t="s">
        <v>59</v>
      </c>
      <c r="E44" s="1" t="s">
        <v>263</v>
      </c>
      <c r="F44" s="1">
        <v>1</v>
      </c>
      <c r="G44" s="1"/>
      <c r="H44" s="1"/>
    </row>
    <row r="45" spans="1:8" x14ac:dyDescent="0.3">
      <c r="A45" s="43"/>
      <c r="B45" s="43"/>
      <c r="C45" s="43"/>
      <c r="D45" s="21" t="s">
        <v>420</v>
      </c>
      <c r="E45" s="1" t="s">
        <v>264</v>
      </c>
      <c r="F45" s="1">
        <v>1</v>
      </c>
      <c r="G45" s="1"/>
      <c r="H45" s="1"/>
    </row>
    <row r="46" spans="1:8" x14ac:dyDescent="0.3">
      <c r="A46" s="43"/>
      <c r="B46" s="43"/>
      <c r="C46" s="43"/>
      <c r="D46" s="21" t="s">
        <v>421</v>
      </c>
      <c r="E46" s="1"/>
      <c r="F46" s="1">
        <v>1</v>
      </c>
      <c r="G46" s="1"/>
      <c r="H46" s="1"/>
    </row>
    <row r="47" spans="1:8" x14ac:dyDescent="0.3">
      <c r="A47" s="43"/>
      <c r="B47" s="43"/>
      <c r="C47" s="43"/>
      <c r="D47" s="21" t="s">
        <v>422</v>
      </c>
      <c r="E47" s="1"/>
      <c r="F47" s="1">
        <v>1</v>
      </c>
      <c r="G47" s="1"/>
      <c r="H47" s="1"/>
    </row>
    <row r="48" spans="1:8" x14ac:dyDescent="0.3">
      <c r="A48" s="43"/>
      <c r="B48" s="43"/>
      <c r="C48" s="43"/>
      <c r="D48" s="21" t="s">
        <v>423</v>
      </c>
      <c r="E48" s="1"/>
      <c r="F48" s="1">
        <v>1</v>
      </c>
      <c r="G48" s="1"/>
      <c r="H48" s="1"/>
    </row>
    <row r="49" spans="1:8" x14ac:dyDescent="0.3">
      <c r="A49" s="43"/>
      <c r="B49" s="43"/>
      <c r="C49" s="43"/>
      <c r="D49" s="21" t="s">
        <v>424</v>
      </c>
      <c r="E49" s="1"/>
      <c r="F49" s="1">
        <v>1</v>
      </c>
      <c r="G49" s="1"/>
      <c r="H49" s="1"/>
    </row>
    <row r="50" spans="1:8" x14ac:dyDescent="0.3">
      <c r="A50" s="43"/>
      <c r="B50" s="43"/>
      <c r="C50" s="43"/>
      <c r="D50" s="21" t="s">
        <v>87</v>
      </c>
      <c r="E50" s="1"/>
      <c r="F50" s="1">
        <v>1</v>
      </c>
      <c r="G50" s="1"/>
      <c r="H50" s="1"/>
    </row>
    <row r="51" spans="1:8" x14ac:dyDescent="0.3">
      <c r="A51" s="43"/>
      <c r="B51" s="43"/>
      <c r="C51" s="43"/>
      <c r="D51" s="21" t="s">
        <v>425</v>
      </c>
      <c r="E51" s="1"/>
      <c r="F51" s="1">
        <v>1</v>
      </c>
      <c r="G51" s="1"/>
      <c r="H51" s="1"/>
    </row>
    <row r="52" spans="1:8" x14ac:dyDescent="0.3">
      <c r="A52" s="43"/>
      <c r="B52" s="43"/>
      <c r="C52" s="43"/>
      <c r="D52" s="21" t="s">
        <v>272</v>
      </c>
      <c r="E52" s="1"/>
      <c r="F52" s="1">
        <v>1</v>
      </c>
      <c r="G52" s="1"/>
      <c r="H52" s="1"/>
    </row>
    <row r="53" spans="1:8" x14ac:dyDescent="0.3">
      <c r="A53" s="43"/>
      <c r="B53" s="43"/>
      <c r="C53" s="42" t="s">
        <v>75</v>
      </c>
      <c r="D53" s="21" t="s">
        <v>69</v>
      </c>
      <c r="E53" s="1" t="s">
        <v>273</v>
      </c>
      <c r="F53" s="1">
        <v>1</v>
      </c>
      <c r="G53" s="1"/>
      <c r="H53" s="1"/>
    </row>
    <row r="54" spans="1:8" x14ac:dyDescent="0.3">
      <c r="A54" s="43"/>
      <c r="B54" s="43"/>
      <c r="C54" s="43"/>
      <c r="D54" s="21" t="s">
        <v>274</v>
      </c>
      <c r="E54" s="1" t="s">
        <v>275</v>
      </c>
      <c r="F54" s="1">
        <v>1</v>
      </c>
      <c r="G54" s="1"/>
      <c r="H54" s="1"/>
    </row>
    <row r="55" spans="1:8" x14ac:dyDescent="0.3">
      <c r="A55" s="43"/>
      <c r="B55" s="43"/>
      <c r="C55" s="43"/>
      <c r="D55" s="21" t="s">
        <v>70</v>
      </c>
      <c r="E55" s="1" t="s">
        <v>276</v>
      </c>
      <c r="F55" s="1">
        <v>1</v>
      </c>
      <c r="G55" s="1"/>
      <c r="H55" s="1"/>
    </row>
    <row r="56" spans="1:8" x14ac:dyDescent="0.3">
      <c r="A56" s="43"/>
      <c r="B56" s="43"/>
      <c r="C56" s="43"/>
      <c r="D56" s="21" t="s">
        <v>71</v>
      </c>
      <c r="E56" s="1" t="s">
        <v>277</v>
      </c>
      <c r="F56" s="1">
        <v>1</v>
      </c>
      <c r="G56" s="1"/>
      <c r="H56" s="1"/>
    </row>
    <row r="57" spans="1:8" x14ac:dyDescent="0.3">
      <c r="A57" s="43"/>
      <c r="B57" s="43"/>
      <c r="C57" s="43"/>
      <c r="D57" s="21" t="s">
        <v>278</v>
      </c>
      <c r="E57" s="1" t="s">
        <v>279</v>
      </c>
      <c r="F57" s="1">
        <v>1</v>
      </c>
      <c r="G57" s="1"/>
      <c r="H57" s="1"/>
    </row>
    <row r="58" spans="1:8" x14ac:dyDescent="0.3">
      <c r="A58" s="43"/>
      <c r="B58" s="44"/>
      <c r="C58" s="44"/>
      <c r="D58" s="21" t="s">
        <v>72</v>
      </c>
      <c r="E58" s="1" t="s">
        <v>280</v>
      </c>
      <c r="F58" s="1">
        <v>1</v>
      </c>
      <c r="G58" s="11">
        <f>SUM(F35:F58)</f>
        <v>24</v>
      </c>
      <c r="H58" s="1"/>
    </row>
    <row r="59" spans="1:8" x14ac:dyDescent="0.3">
      <c r="A59" s="43"/>
      <c r="B59" s="42" t="s">
        <v>426</v>
      </c>
      <c r="C59" s="42" t="s">
        <v>427</v>
      </c>
      <c r="D59" s="21" t="s">
        <v>428</v>
      </c>
      <c r="E59" s="1"/>
      <c r="F59" s="1">
        <v>1</v>
      </c>
      <c r="G59" s="1"/>
      <c r="H59" s="1"/>
    </row>
    <row r="60" spans="1:8" x14ac:dyDescent="0.3">
      <c r="A60" s="43"/>
      <c r="B60" s="43"/>
      <c r="C60" s="43"/>
      <c r="D60" s="21" t="s">
        <v>429</v>
      </c>
      <c r="E60" s="1"/>
      <c r="F60" s="1">
        <v>1</v>
      </c>
      <c r="G60" s="1"/>
      <c r="H60" s="1"/>
    </row>
    <row r="61" spans="1:8" x14ac:dyDescent="0.3">
      <c r="A61" s="43"/>
      <c r="B61" s="43"/>
      <c r="C61" s="43"/>
      <c r="D61" s="21" t="s">
        <v>430</v>
      </c>
      <c r="E61" s="1"/>
      <c r="F61" s="1">
        <v>1</v>
      </c>
      <c r="G61" s="1"/>
      <c r="H61" s="1"/>
    </row>
    <row r="62" spans="1:8" x14ac:dyDescent="0.3">
      <c r="A62" s="43"/>
      <c r="B62" s="44"/>
      <c r="C62" s="44"/>
      <c r="D62" s="21" t="s">
        <v>431</v>
      </c>
      <c r="E62" s="1"/>
      <c r="F62" s="1">
        <v>1</v>
      </c>
      <c r="G62" s="11">
        <f>SUM(F59:F62)</f>
        <v>4</v>
      </c>
      <c r="H62" s="1"/>
    </row>
    <row r="63" spans="1:8" x14ac:dyDescent="0.3">
      <c r="A63" s="43"/>
      <c r="B63" s="42" t="s">
        <v>398</v>
      </c>
      <c r="C63" s="41" t="s">
        <v>436</v>
      </c>
      <c r="D63" s="21" t="s">
        <v>437</v>
      </c>
      <c r="E63" s="1"/>
      <c r="F63" s="1">
        <v>1</v>
      </c>
      <c r="G63" s="1"/>
      <c r="H63" s="1"/>
    </row>
    <row r="64" spans="1:8" x14ac:dyDescent="0.3">
      <c r="A64" s="43"/>
      <c r="B64" s="43"/>
      <c r="C64" s="41"/>
      <c r="D64" s="21" t="s">
        <v>438</v>
      </c>
      <c r="E64" s="1"/>
      <c r="F64" s="1">
        <v>1</v>
      </c>
      <c r="G64" s="1"/>
      <c r="H64" s="1"/>
    </row>
    <row r="65" spans="1:8" x14ac:dyDescent="0.3">
      <c r="A65" s="43"/>
      <c r="B65" s="43"/>
      <c r="C65" s="41"/>
      <c r="D65" s="21" t="s">
        <v>439</v>
      </c>
      <c r="E65" s="1"/>
      <c r="F65" s="1">
        <v>1</v>
      </c>
      <c r="G65" s="1"/>
      <c r="H65" s="1"/>
    </row>
    <row r="66" spans="1:8" x14ac:dyDescent="0.3">
      <c r="A66" s="43"/>
      <c r="B66" s="43"/>
      <c r="C66" s="41" t="s">
        <v>440</v>
      </c>
      <c r="D66" s="21" t="s">
        <v>441</v>
      </c>
      <c r="E66" s="1"/>
      <c r="F66" s="1">
        <v>1</v>
      </c>
      <c r="G66" s="1"/>
      <c r="H66" s="1"/>
    </row>
    <row r="67" spans="1:8" x14ac:dyDescent="0.3">
      <c r="A67" s="43"/>
      <c r="B67" s="43"/>
      <c r="C67" s="41"/>
      <c r="D67" s="21" t="s">
        <v>442</v>
      </c>
      <c r="E67" s="1"/>
      <c r="F67" s="1">
        <v>1</v>
      </c>
      <c r="G67" s="1"/>
      <c r="H67" s="1"/>
    </row>
    <row r="68" spans="1:8" x14ac:dyDescent="0.3">
      <c r="A68" s="43"/>
      <c r="B68" s="43"/>
      <c r="C68" s="41"/>
      <c r="D68" s="21" t="s">
        <v>443</v>
      </c>
      <c r="E68" s="1"/>
      <c r="F68" s="1">
        <v>1</v>
      </c>
      <c r="G68" s="1"/>
      <c r="H68" s="1"/>
    </row>
    <row r="69" spans="1:8" x14ac:dyDescent="0.3">
      <c r="A69" s="43"/>
      <c r="B69" s="43"/>
      <c r="C69" s="41"/>
      <c r="D69" s="21" t="s">
        <v>444</v>
      </c>
      <c r="E69" s="1"/>
      <c r="F69" s="1">
        <v>1</v>
      </c>
      <c r="G69" s="1"/>
      <c r="H69" s="1"/>
    </row>
    <row r="70" spans="1:8" x14ac:dyDescent="0.3">
      <c r="A70" s="43"/>
      <c r="B70" s="43"/>
      <c r="C70" s="41"/>
      <c r="D70" s="21" t="s">
        <v>445</v>
      </c>
      <c r="E70" s="1"/>
      <c r="F70" s="1">
        <v>1</v>
      </c>
      <c r="G70" s="1"/>
      <c r="H70" s="1"/>
    </row>
    <row r="71" spans="1:8" x14ac:dyDescent="0.3">
      <c r="A71" s="43"/>
      <c r="B71" s="43"/>
      <c r="C71" s="41"/>
      <c r="D71" s="21" t="s">
        <v>446</v>
      </c>
      <c r="E71" s="1"/>
      <c r="F71" s="1">
        <v>1</v>
      </c>
      <c r="G71" s="1"/>
      <c r="H71" s="1"/>
    </row>
    <row r="72" spans="1:8" x14ac:dyDescent="0.3">
      <c r="A72" s="43"/>
      <c r="B72" s="43"/>
      <c r="C72" s="41"/>
      <c r="D72" s="21" t="s">
        <v>447</v>
      </c>
      <c r="E72" s="1"/>
      <c r="F72" s="1">
        <v>1</v>
      </c>
      <c r="G72" s="1"/>
      <c r="H72" s="1"/>
    </row>
    <row r="73" spans="1:8" x14ac:dyDescent="0.3">
      <c r="A73" s="43"/>
      <c r="B73" s="43"/>
      <c r="C73" s="42" t="s">
        <v>448</v>
      </c>
      <c r="D73" s="21" t="s">
        <v>449</v>
      </c>
      <c r="E73" s="1"/>
      <c r="F73" s="1">
        <v>1</v>
      </c>
      <c r="G73" s="1"/>
      <c r="H73" s="1"/>
    </row>
    <row r="74" spans="1:8" x14ac:dyDescent="0.3">
      <c r="A74" s="43"/>
      <c r="B74" s="43"/>
      <c r="C74" s="43"/>
      <c r="D74" s="21" t="s">
        <v>450</v>
      </c>
      <c r="E74" s="1"/>
      <c r="F74" s="1">
        <v>1</v>
      </c>
      <c r="G74" s="1"/>
      <c r="H74" s="1"/>
    </row>
    <row r="75" spans="1:8" x14ac:dyDescent="0.3">
      <c r="A75" s="43"/>
      <c r="B75" s="43"/>
      <c r="C75" s="43"/>
      <c r="D75" s="21" t="s">
        <v>451</v>
      </c>
      <c r="E75" s="1"/>
      <c r="F75" s="1">
        <v>1</v>
      </c>
      <c r="G75" s="1"/>
      <c r="H75" s="1"/>
    </row>
    <row r="76" spans="1:8" x14ac:dyDescent="0.3">
      <c r="A76" s="43"/>
      <c r="B76" s="43"/>
      <c r="C76" s="43"/>
      <c r="D76" s="21" t="s">
        <v>452</v>
      </c>
      <c r="E76" s="1"/>
      <c r="F76" s="1">
        <v>1</v>
      </c>
      <c r="G76" s="1"/>
      <c r="H76" s="1"/>
    </row>
    <row r="77" spans="1:8" x14ac:dyDescent="0.3">
      <c r="A77" s="43"/>
      <c r="B77" s="43"/>
      <c r="C77" s="43"/>
      <c r="D77" s="21" t="s">
        <v>453</v>
      </c>
      <c r="E77" s="1"/>
      <c r="F77" s="1">
        <v>1</v>
      </c>
      <c r="G77" s="1"/>
      <c r="H77" s="1"/>
    </row>
    <row r="78" spans="1:8" x14ac:dyDescent="0.3">
      <c r="A78" s="43"/>
      <c r="B78" s="43"/>
      <c r="C78" s="43"/>
      <c r="D78" s="21" t="s">
        <v>454</v>
      </c>
      <c r="E78" s="1"/>
      <c r="F78" s="1">
        <v>1</v>
      </c>
      <c r="G78" s="1"/>
      <c r="H78" s="1"/>
    </row>
    <row r="79" spans="1:8" x14ac:dyDescent="0.3">
      <c r="A79" s="43"/>
      <c r="B79" s="43"/>
      <c r="C79" s="43"/>
      <c r="D79" s="21" t="s">
        <v>455</v>
      </c>
      <c r="E79" s="1"/>
      <c r="F79" s="1">
        <v>1</v>
      </c>
      <c r="G79" s="1"/>
      <c r="H79" s="1"/>
    </row>
    <row r="80" spans="1:8" x14ac:dyDescent="0.3">
      <c r="A80" s="43"/>
      <c r="B80" s="43"/>
      <c r="C80" s="43"/>
      <c r="D80" s="21" t="s">
        <v>456</v>
      </c>
      <c r="E80" s="1"/>
      <c r="F80" s="1">
        <v>1</v>
      </c>
      <c r="G80" s="1"/>
      <c r="H80" s="1"/>
    </row>
    <row r="81" spans="1:8" x14ac:dyDescent="0.3">
      <c r="A81" s="43"/>
      <c r="B81" s="43"/>
      <c r="C81" s="43"/>
      <c r="D81" s="21" t="s">
        <v>457</v>
      </c>
      <c r="E81" s="1"/>
      <c r="F81" s="1">
        <v>1</v>
      </c>
      <c r="G81" s="1"/>
      <c r="H81" s="1"/>
    </row>
    <row r="82" spans="1:8" x14ac:dyDescent="0.3">
      <c r="A82" s="43"/>
      <c r="B82" s="43"/>
      <c r="C82" s="43"/>
      <c r="D82" s="21" t="s">
        <v>458</v>
      </c>
      <c r="E82" s="1"/>
      <c r="F82" s="1">
        <v>1</v>
      </c>
      <c r="G82" s="1"/>
      <c r="H82" s="1"/>
    </row>
    <row r="83" spans="1:8" x14ac:dyDescent="0.3">
      <c r="A83" s="43"/>
      <c r="B83" s="43"/>
      <c r="C83" s="43"/>
      <c r="D83" s="21" t="s">
        <v>459</v>
      </c>
      <c r="E83" s="1"/>
      <c r="F83" s="1">
        <v>1</v>
      </c>
      <c r="G83" s="1"/>
      <c r="H83" s="1"/>
    </row>
    <row r="84" spans="1:8" x14ac:dyDescent="0.3">
      <c r="A84" s="43"/>
      <c r="B84" s="43"/>
      <c r="C84" s="43"/>
      <c r="D84" s="21" t="s">
        <v>460</v>
      </c>
      <c r="E84" s="1"/>
      <c r="F84" s="1">
        <v>1</v>
      </c>
      <c r="G84" s="1"/>
      <c r="H84" s="1"/>
    </row>
    <row r="85" spans="1:8" x14ac:dyDescent="0.3">
      <c r="A85" s="43"/>
      <c r="B85" s="43"/>
      <c r="C85" s="43"/>
      <c r="D85" s="21" t="s">
        <v>461</v>
      </c>
      <c r="E85" s="1"/>
      <c r="F85" s="1">
        <v>1</v>
      </c>
      <c r="G85" s="1"/>
      <c r="H85" s="1"/>
    </row>
    <row r="86" spans="1:8" x14ac:dyDescent="0.3">
      <c r="A86" s="43"/>
      <c r="B86" s="43"/>
      <c r="C86" s="43"/>
      <c r="D86" s="21" t="s">
        <v>462</v>
      </c>
      <c r="E86" s="1"/>
      <c r="F86" s="1">
        <v>1</v>
      </c>
      <c r="G86" s="1"/>
      <c r="H86" s="1"/>
    </row>
    <row r="87" spans="1:8" x14ac:dyDescent="0.3">
      <c r="A87" s="43"/>
      <c r="B87" s="43"/>
      <c r="C87" s="43"/>
      <c r="D87" s="21" t="s">
        <v>463</v>
      </c>
      <c r="E87" s="1"/>
      <c r="F87" s="1">
        <v>1</v>
      </c>
      <c r="G87" s="1"/>
      <c r="H87" s="1"/>
    </row>
    <row r="88" spans="1:8" x14ac:dyDescent="0.3">
      <c r="A88" s="43"/>
      <c r="B88" s="43"/>
      <c r="C88" s="43"/>
      <c r="D88" s="21" t="s">
        <v>464</v>
      </c>
      <c r="E88" s="1"/>
      <c r="F88" s="1">
        <v>1</v>
      </c>
      <c r="G88" s="1"/>
      <c r="H88" s="1"/>
    </row>
    <row r="89" spans="1:8" x14ac:dyDescent="0.3">
      <c r="A89" s="43"/>
      <c r="B89" s="43"/>
      <c r="C89" s="43"/>
      <c r="D89" s="21" t="s">
        <v>465</v>
      </c>
      <c r="E89" s="1"/>
      <c r="F89" s="1">
        <v>1</v>
      </c>
      <c r="G89" s="1"/>
      <c r="H89" s="1"/>
    </row>
    <row r="90" spans="1:8" x14ac:dyDescent="0.3">
      <c r="A90" s="43"/>
      <c r="B90" s="43"/>
      <c r="C90" s="43"/>
      <c r="D90" s="21" t="s">
        <v>466</v>
      </c>
      <c r="E90" s="1"/>
      <c r="F90" s="1">
        <v>1</v>
      </c>
      <c r="G90" s="1"/>
      <c r="H90" s="1"/>
    </row>
    <row r="91" spans="1:8" x14ac:dyDescent="0.3">
      <c r="A91" s="43"/>
      <c r="B91" s="43"/>
      <c r="C91" s="43"/>
      <c r="D91" s="21" t="s">
        <v>467</v>
      </c>
      <c r="E91" s="1"/>
      <c r="F91" s="1">
        <v>1</v>
      </c>
      <c r="G91" s="1"/>
      <c r="H91" s="1"/>
    </row>
    <row r="92" spans="1:8" x14ac:dyDescent="0.3">
      <c r="A92" s="43"/>
      <c r="B92" s="43"/>
      <c r="C92" s="44"/>
      <c r="D92" s="21" t="s">
        <v>468</v>
      </c>
      <c r="E92" s="1"/>
      <c r="F92" s="1">
        <v>1</v>
      </c>
      <c r="G92" s="1"/>
      <c r="H92" s="1"/>
    </row>
    <row r="93" spans="1:8" x14ac:dyDescent="0.3">
      <c r="A93" s="43"/>
      <c r="B93" s="43"/>
      <c r="C93" s="42" t="s">
        <v>469</v>
      </c>
      <c r="D93" s="21" t="s">
        <v>470</v>
      </c>
      <c r="E93" s="1"/>
      <c r="F93" s="1">
        <v>1</v>
      </c>
      <c r="G93" s="1"/>
      <c r="H93" s="1"/>
    </row>
    <row r="94" spans="1:8" x14ac:dyDescent="0.3">
      <c r="A94" s="43"/>
      <c r="B94" s="43"/>
      <c r="C94" s="43"/>
      <c r="D94" s="21" t="s">
        <v>471</v>
      </c>
      <c r="E94" s="1"/>
      <c r="F94" s="1">
        <v>1</v>
      </c>
      <c r="G94" s="1"/>
      <c r="H94" s="1"/>
    </row>
    <row r="95" spans="1:8" x14ac:dyDescent="0.3">
      <c r="A95" s="43"/>
      <c r="B95" s="43"/>
      <c r="C95" s="43"/>
      <c r="D95" s="21" t="s">
        <v>472</v>
      </c>
      <c r="E95" s="1"/>
      <c r="F95" s="1">
        <v>1</v>
      </c>
      <c r="G95" s="1"/>
      <c r="H95" s="1"/>
    </row>
    <row r="96" spans="1:8" x14ac:dyDescent="0.3">
      <c r="A96" s="43"/>
      <c r="B96" s="43"/>
      <c r="C96" s="43"/>
      <c r="D96" s="21" t="s">
        <v>471</v>
      </c>
      <c r="E96" s="1"/>
      <c r="F96" s="1">
        <v>1</v>
      </c>
      <c r="G96" s="1"/>
      <c r="H96" s="1"/>
    </row>
    <row r="97" spans="1:8" x14ac:dyDescent="0.3">
      <c r="A97" s="43"/>
      <c r="B97" s="43"/>
      <c r="C97" s="43"/>
      <c r="D97" s="21" t="s">
        <v>474</v>
      </c>
      <c r="E97" s="1"/>
      <c r="F97" s="1">
        <v>1</v>
      </c>
      <c r="G97" s="1"/>
      <c r="H97" s="1"/>
    </row>
    <row r="98" spans="1:8" x14ac:dyDescent="0.3">
      <c r="A98" s="43"/>
      <c r="B98" s="43"/>
      <c r="C98" s="43"/>
      <c r="D98" s="21" t="s">
        <v>473</v>
      </c>
      <c r="E98" s="1"/>
      <c r="F98" s="1">
        <v>1</v>
      </c>
      <c r="G98" s="1"/>
      <c r="H98" s="1"/>
    </row>
    <row r="99" spans="1:8" x14ac:dyDescent="0.3">
      <c r="A99" s="43"/>
      <c r="B99" s="43"/>
      <c r="C99" s="43"/>
      <c r="D99" s="21" t="s">
        <v>475</v>
      </c>
      <c r="E99" s="1"/>
      <c r="F99" s="1">
        <v>1</v>
      </c>
      <c r="G99" s="1"/>
      <c r="H99" s="1"/>
    </row>
    <row r="100" spans="1:8" x14ac:dyDescent="0.3">
      <c r="A100" s="43"/>
      <c r="B100" s="43"/>
      <c r="C100" s="44"/>
      <c r="D100" s="21" t="s">
        <v>476</v>
      </c>
      <c r="E100" s="1"/>
      <c r="F100" s="1">
        <v>1</v>
      </c>
      <c r="G100" s="1"/>
      <c r="H100" s="1"/>
    </row>
    <row r="101" spans="1:8" x14ac:dyDescent="0.3">
      <c r="A101" s="43"/>
      <c r="B101" s="43"/>
      <c r="C101" s="42" t="s">
        <v>477</v>
      </c>
      <c r="D101" s="21" t="s">
        <v>478</v>
      </c>
      <c r="E101" s="1"/>
      <c r="F101" s="1">
        <v>1</v>
      </c>
      <c r="G101" s="1"/>
      <c r="H101" s="1"/>
    </row>
    <row r="102" spans="1:8" x14ac:dyDescent="0.3">
      <c r="A102" s="43"/>
      <c r="B102" s="43"/>
      <c r="C102" s="43"/>
      <c r="D102" s="21" t="s">
        <v>479</v>
      </c>
      <c r="E102" s="1"/>
      <c r="F102" s="1">
        <v>1</v>
      </c>
      <c r="G102" s="1"/>
      <c r="H102" s="1"/>
    </row>
    <row r="103" spans="1:8" x14ac:dyDescent="0.3">
      <c r="A103" s="43"/>
      <c r="B103" s="43"/>
      <c r="C103" s="43"/>
      <c r="D103" s="21" t="s">
        <v>480</v>
      </c>
      <c r="E103" s="1"/>
      <c r="F103" s="1">
        <v>1</v>
      </c>
      <c r="G103" s="1"/>
      <c r="H103" s="1"/>
    </row>
    <row r="104" spans="1:8" x14ac:dyDescent="0.3">
      <c r="A104" s="43"/>
      <c r="B104" s="43"/>
      <c r="C104" s="44"/>
      <c r="D104" s="21" t="s">
        <v>481</v>
      </c>
      <c r="E104" s="1"/>
      <c r="F104" s="1">
        <v>1</v>
      </c>
      <c r="G104" s="1"/>
      <c r="H104" s="1"/>
    </row>
    <row r="105" spans="1:8" x14ac:dyDescent="0.3">
      <c r="A105" s="43"/>
      <c r="B105" s="43"/>
      <c r="C105" s="42" t="s">
        <v>482</v>
      </c>
      <c r="D105" s="21" t="s">
        <v>483</v>
      </c>
      <c r="E105" s="1"/>
      <c r="F105" s="1">
        <v>1</v>
      </c>
      <c r="G105" s="1"/>
      <c r="H105" s="1"/>
    </row>
    <row r="106" spans="1:8" x14ac:dyDescent="0.3">
      <c r="A106" s="43"/>
      <c r="B106" s="43"/>
      <c r="C106" s="43"/>
      <c r="D106" s="21" t="s">
        <v>484</v>
      </c>
      <c r="E106" s="1"/>
      <c r="F106" s="1">
        <v>1</v>
      </c>
      <c r="G106" s="1"/>
      <c r="H106" s="1"/>
    </row>
    <row r="107" spans="1:8" x14ac:dyDescent="0.3">
      <c r="A107" s="43"/>
      <c r="B107" s="43"/>
      <c r="C107" s="43"/>
      <c r="D107" s="21" t="s">
        <v>485</v>
      </c>
      <c r="E107" s="1"/>
      <c r="F107" s="1">
        <v>1</v>
      </c>
      <c r="G107" s="1"/>
      <c r="H107" s="1"/>
    </row>
    <row r="108" spans="1:8" x14ac:dyDescent="0.3">
      <c r="A108" s="43"/>
      <c r="B108" s="43"/>
      <c r="C108" s="44"/>
      <c r="D108" s="21" t="s">
        <v>486</v>
      </c>
      <c r="E108" s="1"/>
      <c r="F108" s="1">
        <v>1</v>
      </c>
      <c r="G108" s="1"/>
      <c r="H108" s="1"/>
    </row>
    <row r="109" spans="1:8" x14ac:dyDescent="0.3">
      <c r="A109" s="43"/>
      <c r="B109" s="43"/>
      <c r="C109" s="42" t="s">
        <v>487</v>
      </c>
      <c r="D109" s="21" t="s">
        <v>488</v>
      </c>
      <c r="E109" s="1"/>
      <c r="F109" s="1">
        <v>1</v>
      </c>
      <c r="G109" s="1"/>
      <c r="H109" s="1"/>
    </row>
    <row r="110" spans="1:8" x14ac:dyDescent="0.3">
      <c r="A110" s="43"/>
      <c r="B110" s="43"/>
      <c r="C110" s="43"/>
      <c r="D110" s="25" t="s">
        <v>489</v>
      </c>
      <c r="E110" s="1"/>
      <c r="F110" s="1">
        <v>1</v>
      </c>
      <c r="G110" s="1"/>
      <c r="H110" s="1"/>
    </row>
    <row r="111" spans="1:8" x14ac:dyDescent="0.3">
      <c r="A111" s="43"/>
      <c r="B111" s="43"/>
      <c r="C111" s="43"/>
      <c r="D111" s="21" t="s">
        <v>490</v>
      </c>
      <c r="E111" s="1"/>
      <c r="F111" s="1">
        <v>1</v>
      </c>
      <c r="G111" s="1"/>
      <c r="H111" s="1"/>
    </row>
    <row r="112" spans="1:8" x14ac:dyDescent="0.3">
      <c r="A112" s="43"/>
      <c r="B112" s="43"/>
      <c r="C112" s="43"/>
      <c r="D112" s="21" t="s">
        <v>491</v>
      </c>
      <c r="E112" s="1"/>
      <c r="F112" s="1">
        <v>1</v>
      </c>
      <c r="G112" s="1"/>
      <c r="H112" s="1"/>
    </row>
    <row r="113" spans="1:8" x14ac:dyDescent="0.3">
      <c r="A113" s="43"/>
      <c r="B113" s="43"/>
      <c r="C113" s="43"/>
      <c r="D113" s="21" t="s">
        <v>492</v>
      </c>
      <c r="E113" s="1"/>
      <c r="F113" s="1">
        <v>1</v>
      </c>
      <c r="G113" s="1"/>
      <c r="H113" s="1"/>
    </row>
    <row r="114" spans="1:8" x14ac:dyDescent="0.3">
      <c r="A114" s="43"/>
      <c r="B114" s="43"/>
      <c r="C114" s="43"/>
      <c r="D114" s="21" t="s">
        <v>493</v>
      </c>
      <c r="E114" s="1"/>
      <c r="F114" s="1">
        <v>1</v>
      </c>
      <c r="G114" s="1"/>
      <c r="H114" s="1"/>
    </row>
    <row r="115" spans="1:8" x14ac:dyDescent="0.3">
      <c r="A115" s="43"/>
      <c r="B115" s="43"/>
      <c r="C115" s="44"/>
      <c r="D115" s="21" t="s">
        <v>494</v>
      </c>
      <c r="E115" s="1"/>
      <c r="F115" s="1">
        <v>1</v>
      </c>
      <c r="G115" s="1"/>
      <c r="H115" s="1"/>
    </row>
    <row r="116" spans="1:8" x14ac:dyDescent="0.3">
      <c r="A116" s="43"/>
      <c r="B116" s="43"/>
      <c r="C116" s="42" t="s">
        <v>495</v>
      </c>
      <c r="D116" s="21" t="s">
        <v>496</v>
      </c>
      <c r="E116" s="1"/>
      <c r="F116" s="1">
        <v>1</v>
      </c>
      <c r="G116" s="1"/>
      <c r="H116" s="1"/>
    </row>
    <row r="117" spans="1:8" x14ac:dyDescent="0.3">
      <c r="A117" s="43"/>
      <c r="B117" s="43"/>
      <c r="C117" s="43"/>
      <c r="D117" s="21" t="s">
        <v>497</v>
      </c>
      <c r="E117" s="1"/>
      <c r="F117" s="1">
        <v>1</v>
      </c>
      <c r="G117" s="1"/>
      <c r="H117" s="1"/>
    </row>
    <row r="118" spans="1:8" x14ac:dyDescent="0.3">
      <c r="A118" s="43"/>
      <c r="B118" s="43"/>
      <c r="C118" s="43"/>
      <c r="D118" s="21" t="s">
        <v>498</v>
      </c>
      <c r="E118" s="1"/>
      <c r="F118" s="1">
        <v>1</v>
      </c>
      <c r="G118" s="1"/>
      <c r="H118" s="1"/>
    </row>
    <row r="119" spans="1:8" x14ac:dyDescent="0.3">
      <c r="A119" s="43"/>
      <c r="B119" s="43"/>
      <c r="C119" s="44"/>
      <c r="D119" s="21" t="s">
        <v>499</v>
      </c>
      <c r="E119" s="1"/>
      <c r="F119" s="1">
        <v>1</v>
      </c>
      <c r="G119" s="1"/>
      <c r="H119" s="1"/>
    </row>
    <row r="120" spans="1:8" x14ac:dyDescent="0.3">
      <c r="A120" s="43"/>
      <c r="B120" s="43"/>
      <c r="C120" s="42" t="s">
        <v>500</v>
      </c>
      <c r="D120" s="21" t="s">
        <v>501</v>
      </c>
      <c r="E120" s="1"/>
      <c r="F120" s="1">
        <v>1</v>
      </c>
      <c r="G120" s="1"/>
      <c r="H120" s="1"/>
    </row>
    <row r="121" spans="1:8" x14ac:dyDescent="0.3">
      <c r="A121" s="43"/>
      <c r="B121" s="43"/>
      <c r="C121" s="43"/>
      <c r="D121" s="21" t="s">
        <v>502</v>
      </c>
      <c r="E121" s="1"/>
      <c r="F121" s="1">
        <v>1</v>
      </c>
      <c r="G121" s="1"/>
      <c r="H121" s="1"/>
    </row>
    <row r="122" spans="1:8" x14ac:dyDescent="0.3">
      <c r="A122" s="43"/>
      <c r="B122" s="43"/>
      <c r="C122" s="44"/>
      <c r="D122" s="21" t="s">
        <v>503</v>
      </c>
      <c r="E122" s="1"/>
      <c r="F122" s="1">
        <v>1</v>
      </c>
      <c r="G122" s="11">
        <f>SUM(F63:F122)</f>
        <v>60</v>
      </c>
      <c r="H122" s="1"/>
    </row>
    <row r="123" spans="1:8" x14ac:dyDescent="0.3">
      <c r="A123" s="43"/>
      <c r="B123" s="42" t="s">
        <v>433</v>
      </c>
      <c r="C123" s="42" t="s">
        <v>98</v>
      </c>
      <c r="D123" s="21" t="s">
        <v>505</v>
      </c>
      <c r="E123" s="1"/>
      <c r="F123" s="1">
        <v>1</v>
      </c>
      <c r="G123" s="1"/>
      <c r="H123" s="1"/>
    </row>
    <row r="124" spans="1:8" x14ac:dyDescent="0.3">
      <c r="A124" s="43"/>
      <c r="B124" s="43"/>
      <c r="C124" s="43"/>
      <c r="D124" s="21" t="s">
        <v>504</v>
      </c>
      <c r="E124" s="1"/>
      <c r="F124" s="1">
        <v>1</v>
      </c>
      <c r="G124" s="1"/>
      <c r="H124" s="1"/>
    </row>
    <row r="125" spans="1:8" x14ac:dyDescent="0.3">
      <c r="A125" s="43"/>
      <c r="B125" s="43"/>
      <c r="C125" s="43"/>
      <c r="D125" s="21" t="s">
        <v>506</v>
      </c>
      <c r="E125" s="1"/>
      <c r="F125" s="1">
        <v>1</v>
      </c>
      <c r="G125" s="1"/>
      <c r="H125" s="1"/>
    </row>
    <row r="126" spans="1:8" x14ac:dyDescent="0.3">
      <c r="A126" s="43"/>
      <c r="B126" s="43"/>
      <c r="C126" s="43"/>
      <c r="D126" s="21" t="s">
        <v>102</v>
      </c>
      <c r="E126" s="1"/>
      <c r="F126" s="1">
        <v>1</v>
      </c>
      <c r="G126" s="1"/>
      <c r="H126" s="1"/>
    </row>
    <row r="127" spans="1:8" x14ac:dyDescent="0.3">
      <c r="A127" s="43"/>
      <c r="B127" s="43"/>
      <c r="C127" s="43"/>
      <c r="D127" s="21" t="s">
        <v>507</v>
      </c>
      <c r="E127" s="1"/>
      <c r="F127" s="1">
        <v>1</v>
      </c>
      <c r="G127" s="1"/>
      <c r="H127" s="1"/>
    </row>
    <row r="128" spans="1:8" x14ac:dyDescent="0.3">
      <c r="A128" s="43"/>
      <c r="B128" s="43"/>
      <c r="C128" s="43"/>
      <c r="D128" s="21" t="s">
        <v>103</v>
      </c>
      <c r="E128" s="1"/>
      <c r="F128" s="1">
        <v>1</v>
      </c>
      <c r="G128" s="1"/>
      <c r="H128" s="1"/>
    </row>
    <row r="129" spans="1:8" x14ac:dyDescent="0.3">
      <c r="A129" s="43"/>
      <c r="B129" s="43"/>
      <c r="C129" s="44"/>
      <c r="D129" s="21" t="s">
        <v>508</v>
      </c>
      <c r="E129" s="1"/>
      <c r="F129" s="1">
        <v>1</v>
      </c>
      <c r="G129" s="1"/>
      <c r="H129" s="1"/>
    </row>
    <row r="130" spans="1:8" x14ac:dyDescent="0.3">
      <c r="A130" s="43"/>
      <c r="B130" s="43"/>
      <c r="C130" s="21" t="s">
        <v>104</v>
      </c>
      <c r="D130" s="21" t="s">
        <v>104</v>
      </c>
      <c r="E130" s="1"/>
      <c r="F130" s="1">
        <v>1</v>
      </c>
      <c r="G130" s="1"/>
      <c r="H130" s="1"/>
    </row>
    <row r="131" spans="1:8" x14ac:dyDescent="0.3">
      <c r="A131" s="43"/>
      <c r="B131" s="43"/>
      <c r="C131" s="41" t="s">
        <v>105</v>
      </c>
      <c r="D131" s="21" t="s">
        <v>509</v>
      </c>
      <c r="E131" s="1"/>
      <c r="F131" s="1">
        <v>1</v>
      </c>
      <c r="G131" s="1"/>
      <c r="H131" s="1"/>
    </row>
    <row r="132" spans="1:8" x14ac:dyDescent="0.3">
      <c r="A132" s="43"/>
      <c r="B132" s="43"/>
      <c r="C132" s="41"/>
      <c r="D132" s="21" t="s">
        <v>106</v>
      </c>
      <c r="E132" s="1"/>
      <c r="F132" s="1">
        <v>1</v>
      </c>
      <c r="G132" s="1"/>
      <c r="H132" s="1"/>
    </row>
    <row r="133" spans="1:8" x14ac:dyDescent="0.3">
      <c r="A133" s="43"/>
      <c r="B133" s="43"/>
      <c r="C133" s="41"/>
      <c r="D133" s="21" t="s">
        <v>107</v>
      </c>
      <c r="E133" s="1"/>
      <c r="F133" s="1">
        <v>1</v>
      </c>
      <c r="G133" s="1"/>
      <c r="H133" s="1"/>
    </row>
    <row r="134" spans="1:8" x14ac:dyDescent="0.3">
      <c r="A134" s="43"/>
      <c r="B134" s="43"/>
      <c r="C134" s="41"/>
      <c r="D134" s="21" t="s">
        <v>512</v>
      </c>
      <c r="E134" s="1"/>
      <c r="F134" s="1">
        <v>1</v>
      </c>
      <c r="G134" s="1"/>
      <c r="H134" s="1"/>
    </row>
    <row r="135" spans="1:8" x14ac:dyDescent="0.3">
      <c r="A135" s="43"/>
      <c r="B135" s="43"/>
      <c r="C135" s="41"/>
      <c r="D135" s="21" t="s">
        <v>510</v>
      </c>
      <c r="E135" s="1"/>
      <c r="F135" s="1">
        <v>1</v>
      </c>
      <c r="G135" s="1"/>
      <c r="H135" s="1"/>
    </row>
    <row r="136" spans="1:8" x14ac:dyDescent="0.3">
      <c r="A136" s="43"/>
      <c r="B136" s="43"/>
      <c r="C136" s="41"/>
      <c r="D136" s="21" t="s">
        <v>511</v>
      </c>
      <c r="E136" s="1"/>
      <c r="F136" s="1">
        <v>1</v>
      </c>
      <c r="G136" s="1"/>
      <c r="H136" s="1"/>
    </row>
    <row r="137" spans="1:8" x14ac:dyDescent="0.3">
      <c r="A137" s="43"/>
      <c r="B137" s="43"/>
      <c r="C137" s="41"/>
      <c r="D137" s="21" t="s">
        <v>502</v>
      </c>
      <c r="E137" s="1"/>
      <c r="F137" s="1">
        <v>1</v>
      </c>
      <c r="G137" s="1"/>
      <c r="H137" s="1"/>
    </row>
    <row r="138" spans="1:8" x14ac:dyDescent="0.3">
      <c r="A138" s="43"/>
      <c r="B138" s="43"/>
      <c r="C138" s="41"/>
      <c r="D138" s="21" t="s">
        <v>513</v>
      </c>
      <c r="E138" s="1"/>
      <c r="F138" s="1">
        <v>1</v>
      </c>
      <c r="G138" s="1"/>
      <c r="H138" s="1"/>
    </row>
    <row r="139" spans="1:8" x14ac:dyDescent="0.3">
      <c r="A139" s="43"/>
      <c r="B139" s="43"/>
      <c r="C139" s="41"/>
      <c r="D139" s="21" t="s">
        <v>514</v>
      </c>
      <c r="E139" s="1"/>
      <c r="F139" s="1">
        <v>1</v>
      </c>
      <c r="G139" s="1"/>
      <c r="H139" s="1"/>
    </row>
    <row r="140" spans="1:8" x14ac:dyDescent="0.3">
      <c r="A140" s="43"/>
      <c r="B140" s="43"/>
      <c r="C140" s="41"/>
      <c r="D140" s="21" t="s">
        <v>115</v>
      </c>
      <c r="E140" s="1"/>
      <c r="F140" s="1">
        <v>1</v>
      </c>
      <c r="G140" s="1"/>
      <c r="H140" s="1"/>
    </row>
    <row r="141" spans="1:8" x14ac:dyDescent="0.3">
      <c r="A141" s="43"/>
      <c r="B141" s="43"/>
      <c r="C141" s="41"/>
      <c r="D141" s="21" t="s">
        <v>116</v>
      </c>
      <c r="E141" s="1"/>
      <c r="F141" s="1">
        <v>1</v>
      </c>
      <c r="G141" s="1"/>
      <c r="H141" s="1"/>
    </row>
    <row r="142" spans="1:8" x14ac:dyDescent="0.3">
      <c r="A142" s="43"/>
      <c r="B142" s="43"/>
      <c r="C142" s="41"/>
      <c r="D142" s="21" t="s">
        <v>516</v>
      </c>
      <c r="E142" s="1"/>
      <c r="F142" s="1">
        <v>1</v>
      </c>
      <c r="G142" s="1"/>
      <c r="H142" s="1"/>
    </row>
    <row r="143" spans="1:8" x14ac:dyDescent="0.3">
      <c r="A143" s="43"/>
      <c r="B143" s="43"/>
      <c r="C143" s="41"/>
      <c r="D143" s="21" t="s">
        <v>515</v>
      </c>
      <c r="E143" s="1"/>
      <c r="F143" s="1">
        <v>1</v>
      </c>
      <c r="G143" s="1"/>
      <c r="H143" s="1"/>
    </row>
    <row r="144" spans="1:8" x14ac:dyDescent="0.3">
      <c r="A144" s="43"/>
      <c r="B144" s="43"/>
      <c r="C144" s="41"/>
      <c r="D144" s="21" t="s">
        <v>517</v>
      </c>
      <c r="E144" s="1"/>
      <c r="F144" s="1">
        <v>1</v>
      </c>
      <c r="G144" s="1"/>
      <c r="H144" s="1"/>
    </row>
    <row r="145" spans="1:8" x14ac:dyDescent="0.3">
      <c r="A145" s="43"/>
      <c r="B145" s="43"/>
      <c r="C145" s="41"/>
      <c r="D145" s="21" t="s">
        <v>518</v>
      </c>
      <c r="E145" s="1"/>
      <c r="F145" s="1">
        <v>1</v>
      </c>
      <c r="G145" s="1"/>
      <c r="H145" s="1"/>
    </row>
    <row r="146" spans="1:8" x14ac:dyDescent="0.3">
      <c r="A146" s="43"/>
      <c r="B146" s="43"/>
      <c r="C146" s="42" t="s">
        <v>124</v>
      </c>
      <c r="D146" s="21" t="s">
        <v>519</v>
      </c>
      <c r="E146" s="1"/>
      <c r="F146" s="1">
        <v>1</v>
      </c>
      <c r="G146" s="1"/>
      <c r="H146" s="1"/>
    </row>
    <row r="147" spans="1:8" x14ac:dyDescent="0.3">
      <c r="A147" s="43"/>
      <c r="B147" s="43"/>
      <c r="C147" s="43"/>
      <c r="D147" s="21" t="s">
        <v>521</v>
      </c>
      <c r="E147" s="1"/>
      <c r="F147" s="1">
        <v>1</v>
      </c>
      <c r="G147" s="1"/>
      <c r="H147" s="1"/>
    </row>
    <row r="148" spans="1:8" x14ac:dyDescent="0.3">
      <c r="A148" s="43"/>
      <c r="B148" s="43"/>
      <c r="C148" s="43"/>
      <c r="D148" s="21" t="s">
        <v>520</v>
      </c>
      <c r="E148" s="1"/>
      <c r="F148" s="1">
        <v>1</v>
      </c>
      <c r="G148" s="1"/>
      <c r="H148" s="1"/>
    </row>
    <row r="149" spans="1:8" x14ac:dyDescent="0.3">
      <c r="A149" s="43"/>
      <c r="B149" s="43"/>
      <c r="C149" s="43"/>
      <c r="D149" s="21" t="s">
        <v>522</v>
      </c>
      <c r="E149" s="1"/>
      <c r="F149" s="1">
        <v>1</v>
      </c>
      <c r="G149" s="1"/>
      <c r="H149" s="1"/>
    </row>
    <row r="150" spans="1:8" x14ac:dyDescent="0.3">
      <c r="A150" s="43"/>
      <c r="B150" s="43"/>
      <c r="C150" s="43"/>
      <c r="D150" s="21" t="s">
        <v>523</v>
      </c>
      <c r="E150" s="1"/>
      <c r="F150" s="1">
        <v>1</v>
      </c>
      <c r="G150" s="1"/>
      <c r="H150" s="1"/>
    </row>
    <row r="151" spans="1:8" x14ac:dyDescent="0.3">
      <c r="A151" s="43"/>
      <c r="B151" s="43"/>
      <c r="C151" s="44"/>
      <c r="D151" s="21" t="s">
        <v>524</v>
      </c>
      <c r="E151" s="1"/>
      <c r="F151" s="1">
        <v>1</v>
      </c>
      <c r="G151" s="1"/>
      <c r="H151" s="1"/>
    </row>
    <row r="152" spans="1:8" x14ac:dyDescent="0.3">
      <c r="A152" s="43"/>
      <c r="B152" s="43"/>
      <c r="C152" s="42" t="s">
        <v>123</v>
      </c>
      <c r="D152" s="21" t="s">
        <v>525</v>
      </c>
      <c r="E152" s="1"/>
      <c r="F152" s="1">
        <v>1</v>
      </c>
      <c r="G152" s="1"/>
      <c r="H152" s="1"/>
    </row>
    <row r="153" spans="1:8" x14ac:dyDescent="0.3">
      <c r="A153" s="43"/>
      <c r="B153" s="43"/>
      <c r="C153" s="43"/>
      <c r="D153" s="21" t="s">
        <v>526</v>
      </c>
      <c r="E153" s="1"/>
      <c r="F153" s="1">
        <v>1</v>
      </c>
      <c r="G153" s="1"/>
      <c r="H153" s="1"/>
    </row>
    <row r="154" spans="1:8" x14ac:dyDescent="0.3">
      <c r="A154" s="43"/>
      <c r="B154" s="43"/>
      <c r="C154" s="44"/>
      <c r="D154" s="21" t="s">
        <v>527</v>
      </c>
      <c r="E154" s="1"/>
      <c r="F154" s="1">
        <v>1</v>
      </c>
      <c r="G154" s="1"/>
      <c r="H154" s="1"/>
    </row>
    <row r="155" spans="1:8" x14ac:dyDescent="0.3">
      <c r="A155" s="43"/>
      <c r="B155" s="43"/>
      <c r="C155" s="41" t="s">
        <v>160</v>
      </c>
      <c r="D155" s="21" t="s">
        <v>528</v>
      </c>
      <c r="E155" s="1"/>
      <c r="F155" s="1">
        <v>1</v>
      </c>
      <c r="G155" s="1"/>
      <c r="H155" s="1"/>
    </row>
    <row r="156" spans="1:8" x14ac:dyDescent="0.3">
      <c r="A156" s="43"/>
      <c r="B156" s="43"/>
      <c r="C156" s="41"/>
      <c r="D156" s="21" t="s">
        <v>529</v>
      </c>
      <c r="E156" s="1"/>
      <c r="F156" s="1">
        <v>1</v>
      </c>
      <c r="G156" s="1"/>
      <c r="H156" s="1"/>
    </row>
    <row r="157" spans="1:8" x14ac:dyDescent="0.3">
      <c r="A157" s="43"/>
      <c r="B157" s="43"/>
      <c r="C157" s="41"/>
      <c r="D157" s="21" t="s">
        <v>530</v>
      </c>
      <c r="E157" s="1"/>
      <c r="F157" s="1">
        <v>1</v>
      </c>
      <c r="G157" s="1"/>
      <c r="H157" s="1"/>
    </row>
    <row r="158" spans="1:8" x14ac:dyDescent="0.3">
      <c r="A158" s="43"/>
      <c r="B158" s="43"/>
      <c r="C158" s="41"/>
      <c r="D158" s="21" t="s">
        <v>531</v>
      </c>
      <c r="E158" s="1"/>
      <c r="F158" s="1">
        <v>1</v>
      </c>
      <c r="G158" s="1"/>
      <c r="H158" s="1"/>
    </row>
    <row r="159" spans="1:8" x14ac:dyDescent="0.3">
      <c r="A159" s="43"/>
      <c r="B159" s="43"/>
      <c r="C159" s="41"/>
      <c r="D159" s="21" t="s">
        <v>532</v>
      </c>
      <c r="E159" s="1"/>
      <c r="F159" s="1">
        <v>1</v>
      </c>
      <c r="G159" s="1"/>
      <c r="H159" s="1"/>
    </row>
    <row r="160" spans="1:8" x14ac:dyDescent="0.3">
      <c r="A160" s="43"/>
      <c r="B160" s="43"/>
      <c r="C160" s="41"/>
      <c r="D160" s="21" t="s">
        <v>533</v>
      </c>
      <c r="E160" s="1"/>
      <c r="F160" s="1">
        <v>1</v>
      </c>
      <c r="G160" s="1"/>
      <c r="H160" s="1"/>
    </row>
    <row r="161" spans="1:8" x14ac:dyDescent="0.3">
      <c r="A161" s="43"/>
      <c r="B161" s="43"/>
      <c r="C161" s="41"/>
      <c r="D161" s="21" t="s">
        <v>534</v>
      </c>
      <c r="E161" s="1"/>
      <c r="F161" s="1">
        <v>1</v>
      </c>
      <c r="G161" s="1"/>
      <c r="H161" s="1"/>
    </row>
    <row r="162" spans="1:8" x14ac:dyDescent="0.3">
      <c r="A162" s="43"/>
      <c r="B162" s="43"/>
      <c r="C162" s="42" t="s">
        <v>535</v>
      </c>
      <c r="D162" s="21" t="s">
        <v>536</v>
      </c>
      <c r="E162" s="1"/>
      <c r="F162" s="1">
        <v>1</v>
      </c>
      <c r="G162" s="1"/>
      <c r="H162" s="1"/>
    </row>
    <row r="163" spans="1:8" x14ac:dyDescent="0.3">
      <c r="A163" s="43"/>
      <c r="B163" s="43"/>
      <c r="C163" s="43"/>
      <c r="D163" s="21" t="s">
        <v>537</v>
      </c>
      <c r="E163" s="1"/>
      <c r="F163" s="1">
        <v>1</v>
      </c>
      <c r="G163" s="1"/>
      <c r="H163" s="1"/>
    </row>
    <row r="164" spans="1:8" x14ac:dyDescent="0.3">
      <c r="A164" s="43"/>
      <c r="B164" s="43"/>
      <c r="C164" s="44"/>
      <c r="D164" s="21" t="s">
        <v>538</v>
      </c>
      <c r="E164" s="1"/>
      <c r="F164" s="1">
        <v>1</v>
      </c>
      <c r="G164" s="1"/>
      <c r="H164" s="1"/>
    </row>
    <row r="165" spans="1:8" x14ac:dyDescent="0.3">
      <c r="A165" s="43"/>
      <c r="B165" s="43"/>
      <c r="C165" s="42" t="s">
        <v>131</v>
      </c>
      <c r="D165" s="21" t="s">
        <v>539</v>
      </c>
      <c r="E165" s="1"/>
      <c r="F165" s="1">
        <v>1</v>
      </c>
      <c r="G165" s="1"/>
      <c r="H165" s="1"/>
    </row>
    <row r="166" spans="1:8" x14ac:dyDescent="0.3">
      <c r="A166" s="43"/>
      <c r="B166" s="43"/>
      <c r="C166" s="43"/>
      <c r="D166" s="21" t="s">
        <v>540</v>
      </c>
      <c r="E166" s="1"/>
      <c r="F166" s="1">
        <v>1</v>
      </c>
      <c r="G166" s="1"/>
      <c r="H166" s="1"/>
    </row>
    <row r="167" spans="1:8" x14ac:dyDescent="0.3">
      <c r="A167" s="43"/>
      <c r="B167" s="43"/>
      <c r="C167" s="43"/>
      <c r="D167" s="21" t="s">
        <v>541</v>
      </c>
      <c r="E167" s="1"/>
      <c r="F167" s="1">
        <v>1</v>
      </c>
      <c r="G167" s="1"/>
      <c r="H167" s="1"/>
    </row>
    <row r="168" spans="1:8" x14ac:dyDescent="0.3">
      <c r="A168" s="43"/>
      <c r="B168" s="43"/>
      <c r="C168" s="43"/>
      <c r="D168" s="21" t="s">
        <v>542</v>
      </c>
      <c r="E168" s="1"/>
      <c r="F168" s="1">
        <v>1</v>
      </c>
      <c r="G168" s="1"/>
      <c r="H168" s="1"/>
    </row>
    <row r="169" spans="1:8" x14ac:dyDescent="0.3">
      <c r="A169" s="43"/>
      <c r="B169" s="43"/>
      <c r="C169" s="43"/>
      <c r="D169" s="21" t="s">
        <v>545</v>
      </c>
      <c r="E169" s="1"/>
      <c r="F169" s="1">
        <v>1</v>
      </c>
      <c r="G169" s="1"/>
      <c r="H169" s="1"/>
    </row>
    <row r="170" spans="1:8" x14ac:dyDescent="0.3">
      <c r="A170" s="43"/>
      <c r="B170" s="43"/>
      <c r="C170" s="43"/>
      <c r="D170" s="21" t="s">
        <v>543</v>
      </c>
      <c r="E170" s="1"/>
      <c r="F170" s="1">
        <v>1</v>
      </c>
      <c r="G170" s="1"/>
      <c r="H170" s="1"/>
    </row>
    <row r="171" spans="1:8" x14ac:dyDescent="0.3">
      <c r="A171" s="43"/>
      <c r="B171" s="43"/>
      <c r="C171" s="44"/>
      <c r="D171" s="21" t="s">
        <v>544</v>
      </c>
      <c r="E171" s="1"/>
      <c r="F171" s="1">
        <v>1</v>
      </c>
      <c r="G171" s="1"/>
      <c r="H171" s="1"/>
    </row>
    <row r="172" spans="1:8" x14ac:dyDescent="0.3">
      <c r="A172" s="43"/>
      <c r="B172" s="44"/>
      <c r="C172" s="27" t="s">
        <v>47</v>
      </c>
      <c r="D172" s="21" t="s">
        <v>546</v>
      </c>
      <c r="E172" s="1"/>
      <c r="F172" s="1">
        <v>1</v>
      </c>
      <c r="G172" s="11">
        <f>SUM(F123:F172)</f>
        <v>50</v>
      </c>
      <c r="H172" s="1"/>
    </row>
    <row r="173" spans="1:8" x14ac:dyDescent="0.3">
      <c r="A173" s="43"/>
      <c r="B173" s="42" t="s">
        <v>547</v>
      </c>
      <c r="C173" s="42" t="s">
        <v>138</v>
      </c>
      <c r="D173" s="21" t="s">
        <v>139</v>
      </c>
      <c r="E173" s="1"/>
      <c r="F173" s="1">
        <v>1</v>
      </c>
      <c r="G173" s="1"/>
      <c r="H173" s="1"/>
    </row>
    <row r="174" spans="1:8" x14ac:dyDescent="0.3">
      <c r="A174" s="43"/>
      <c r="B174" s="43"/>
      <c r="C174" s="43"/>
      <c r="D174" s="21" t="s">
        <v>140</v>
      </c>
      <c r="E174" s="1"/>
      <c r="F174" s="1">
        <v>1</v>
      </c>
      <c r="G174" s="1"/>
      <c r="H174" s="1"/>
    </row>
    <row r="175" spans="1:8" x14ac:dyDescent="0.3">
      <c r="A175" s="43"/>
      <c r="B175" s="43"/>
      <c r="C175" s="43"/>
      <c r="D175" s="21" t="s">
        <v>141</v>
      </c>
      <c r="E175" s="1"/>
      <c r="F175" s="1">
        <v>1</v>
      </c>
      <c r="G175" s="1"/>
      <c r="H175" s="1"/>
    </row>
    <row r="176" spans="1:8" x14ac:dyDescent="0.3">
      <c r="A176" s="43"/>
      <c r="B176" s="43"/>
      <c r="C176" s="44"/>
      <c r="D176" s="21" t="s">
        <v>142</v>
      </c>
      <c r="E176" s="1"/>
      <c r="F176" s="1">
        <v>1</v>
      </c>
      <c r="G176" s="1"/>
      <c r="H176" s="1"/>
    </row>
    <row r="177" spans="1:8" x14ac:dyDescent="0.3">
      <c r="A177" s="43"/>
      <c r="B177" s="43"/>
      <c r="C177" s="42" t="s">
        <v>143</v>
      </c>
      <c r="D177" s="21" t="s">
        <v>144</v>
      </c>
      <c r="E177" s="1"/>
      <c r="F177" s="1">
        <v>1</v>
      </c>
      <c r="G177" s="1"/>
      <c r="H177" s="1"/>
    </row>
    <row r="178" spans="1:8" x14ac:dyDescent="0.3">
      <c r="A178" s="43"/>
      <c r="B178" s="43"/>
      <c r="C178" s="43"/>
      <c r="D178" s="21" t="s">
        <v>145</v>
      </c>
      <c r="E178" s="1"/>
      <c r="F178" s="1">
        <v>1</v>
      </c>
      <c r="G178" s="1"/>
      <c r="H178" s="1"/>
    </row>
    <row r="179" spans="1:8" x14ac:dyDescent="0.3">
      <c r="A179" s="43"/>
      <c r="B179" s="43"/>
      <c r="C179" s="43"/>
      <c r="D179" s="21" t="s">
        <v>146</v>
      </c>
      <c r="E179" s="1"/>
      <c r="F179" s="1">
        <v>1</v>
      </c>
      <c r="G179" s="1"/>
      <c r="H179" s="1"/>
    </row>
    <row r="180" spans="1:8" x14ac:dyDescent="0.3">
      <c r="A180" s="43"/>
      <c r="B180" s="43"/>
      <c r="C180" s="44"/>
      <c r="D180" s="21" t="s">
        <v>147</v>
      </c>
      <c r="E180" s="1"/>
      <c r="F180" s="1">
        <v>1</v>
      </c>
      <c r="G180" s="1"/>
      <c r="H180" s="1"/>
    </row>
    <row r="181" spans="1:8" x14ac:dyDescent="0.3">
      <c r="A181" s="43"/>
      <c r="B181" s="43"/>
      <c r="C181" s="42" t="s">
        <v>148</v>
      </c>
      <c r="D181" s="21" t="s">
        <v>149</v>
      </c>
      <c r="E181" s="1"/>
      <c r="F181" s="1">
        <v>1</v>
      </c>
      <c r="G181" s="1"/>
      <c r="H181" s="1"/>
    </row>
    <row r="182" spans="1:8" x14ac:dyDescent="0.3">
      <c r="A182" s="43"/>
      <c r="B182" s="43"/>
      <c r="C182" s="43"/>
      <c r="D182" s="21" t="s">
        <v>150</v>
      </c>
      <c r="E182" s="1"/>
      <c r="F182" s="1">
        <v>1</v>
      </c>
      <c r="G182" s="1"/>
      <c r="H182" s="1"/>
    </row>
    <row r="183" spans="1:8" x14ac:dyDescent="0.3">
      <c r="A183" s="43"/>
      <c r="B183" s="43"/>
      <c r="C183" s="43"/>
      <c r="D183" s="21" t="s">
        <v>548</v>
      </c>
      <c r="E183" s="1"/>
      <c r="F183" s="1">
        <v>1</v>
      </c>
      <c r="G183" s="1"/>
      <c r="H183" s="1"/>
    </row>
    <row r="184" spans="1:8" x14ac:dyDescent="0.3">
      <c r="A184" s="43"/>
      <c r="B184" s="43"/>
      <c r="C184" s="43"/>
      <c r="D184" s="21" t="s">
        <v>151</v>
      </c>
      <c r="E184" s="1"/>
      <c r="F184" s="1">
        <v>1</v>
      </c>
      <c r="G184" s="1"/>
      <c r="H184" s="1"/>
    </row>
    <row r="185" spans="1:8" x14ac:dyDescent="0.3">
      <c r="A185" s="43"/>
      <c r="B185" s="43"/>
      <c r="C185" s="43"/>
      <c r="D185" s="21" t="s">
        <v>549</v>
      </c>
      <c r="E185" s="1"/>
      <c r="F185" s="1">
        <v>1</v>
      </c>
      <c r="G185" s="1"/>
      <c r="H185" s="1"/>
    </row>
    <row r="186" spans="1:8" x14ac:dyDescent="0.3">
      <c r="A186" s="43"/>
      <c r="B186" s="43"/>
      <c r="C186" s="43"/>
      <c r="D186" s="21" t="s">
        <v>152</v>
      </c>
      <c r="E186" s="1"/>
      <c r="F186" s="1">
        <v>1</v>
      </c>
      <c r="G186" s="1"/>
      <c r="H186" s="1"/>
    </row>
    <row r="187" spans="1:8" x14ac:dyDescent="0.3">
      <c r="A187" s="43"/>
      <c r="B187" s="43"/>
      <c r="C187" s="44"/>
      <c r="D187" s="21" t="s">
        <v>550</v>
      </c>
      <c r="E187" s="1"/>
      <c r="F187" s="1">
        <v>1</v>
      </c>
      <c r="G187" s="1"/>
      <c r="H187" s="1"/>
    </row>
    <row r="188" spans="1:8" x14ac:dyDescent="0.3">
      <c r="A188" s="43"/>
      <c r="B188" s="43"/>
      <c r="C188" s="42" t="s">
        <v>153</v>
      </c>
      <c r="D188" s="21" t="s">
        <v>154</v>
      </c>
      <c r="E188" s="1"/>
      <c r="F188" s="1">
        <v>1</v>
      </c>
      <c r="G188" s="1"/>
      <c r="H188" s="1"/>
    </row>
    <row r="189" spans="1:8" x14ac:dyDescent="0.3">
      <c r="A189" s="43"/>
      <c r="B189" s="43"/>
      <c r="C189" s="43"/>
      <c r="D189" s="21" t="s">
        <v>155</v>
      </c>
      <c r="E189" s="1"/>
      <c r="F189" s="1">
        <v>1</v>
      </c>
      <c r="G189" s="1"/>
      <c r="H189" s="1"/>
    </row>
    <row r="190" spans="1:8" x14ac:dyDescent="0.3">
      <c r="A190" s="43"/>
      <c r="B190" s="43"/>
      <c r="C190" s="43"/>
      <c r="D190" s="21" t="s">
        <v>156</v>
      </c>
      <c r="E190" s="1"/>
      <c r="F190" s="1">
        <v>1</v>
      </c>
      <c r="G190" s="1"/>
      <c r="H190" s="1"/>
    </row>
    <row r="191" spans="1:8" x14ac:dyDescent="0.3">
      <c r="A191" s="43"/>
      <c r="B191" s="43"/>
      <c r="C191" s="43"/>
      <c r="D191" s="21" t="s">
        <v>157</v>
      </c>
      <c r="E191" s="1"/>
      <c r="F191" s="1">
        <v>1</v>
      </c>
      <c r="G191" s="1"/>
      <c r="H191" s="1"/>
    </row>
    <row r="192" spans="1:8" x14ac:dyDescent="0.3">
      <c r="A192" s="43"/>
      <c r="B192" s="43"/>
      <c r="C192" s="43"/>
      <c r="D192" s="21" t="s">
        <v>158</v>
      </c>
      <c r="E192" s="1"/>
      <c r="F192" s="1">
        <v>1</v>
      </c>
      <c r="G192" s="1"/>
      <c r="H192" s="1"/>
    </row>
    <row r="193" spans="1:8" x14ac:dyDescent="0.3">
      <c r="A193" s="43"/>
      <c r="B193" s="43"/>
      <c r="C193" s="44"/>
      <c r="D193" s="21" t="s">
        <v>159</v>
      </c>
      <c r="E193" s="1"/>
      <c r="F193" s="1">
        <v>1</v>
      </c>
      <c r="G193" s="1"/>
      <c r="H193" s="1"/>
    </row>
    <row r="194" spans="1:8" x14ac:dyDescent="0.3">
      <c r="A194" s="43"/>
      <c r="B194" s="43"/>
      <c r="C194" s="41" t="s">
        <v>160</v>
      </c>
      <c r="D194" s="21" t="s">
        <v>161</v>
      </c>
      <c r="E194" s="1"/>
      <c r="F194" s="1">
        <v>1</v>
      </c>
      <c r="G194" s="1"/>
      <c r="H194" s="1"/>
    </row>
    <row r="195" spans="1:8" x14ac:dyDescent="0.3">
      <c r="A195" s="43"/>
      <c r="B195" s="43"/>
      <c r="C195" s="41"/>
      <c r="D195" s="21" t="s">
        <v>162</v>
      </c>
      <c r="E195" s="1"/>
      <c r="F195" s="1">
        <v>1</v>
      </c>
      <c r="G195" s="1"/>
      <c r="H195" s="1"/>
    </row>
    <row r="196" spans="1:8" x14ac:dyDescent="0.3">
      <c r="A196" s="43"/>
      <c r="B196" s="43"/>
      <c r="C196" s="41"/>
      <c r="D196" s="21" t="s">
        <v>163</v>
      </c>
      <c r="E196" s="1"/>
      <c r="F196" s="1">
        <v>1</v>
      </c>
      <c r="G196" s="1"/>
      <c r="H196" s="1"/>
    </row>
    <row r="197" spans="1:8" x14ac:dyDescent="0.3">
      <c r="A197" s="43"/>
      <c r="B197" s="43"/>
      <c r="C197" s="41"/>
      <c r="D197" s="21" t="s">
        <v>164</v>
      </c>
      <c r="E197" s="1"/>
      <c r="F197" s="1">
        <v>1</v>
      </c>
      <c r="G197" s="1"/>
      <c r="H197" s="1"/>
    </row>
    <row r="198" spans="1:8" x14ac:dyDescent="0.3">
      <c r="A198" s="43"/>
      <c r="B198" s="43"/>
      <c r="C198" s="41"/>
      <c r="D198" s="21" t="s">
        <v>165</v>
      </c>
      <c r="E198" s="1"/>
      <c r="F198" s="1">
        <v>1</v>
      </c>
      <c r="G198" s="1"/>
      <c r="H198" s="1"/>
    </row>
    <row r="199" spans="1:8" x14ac:dyDescent="0.3">
      <c r="A199" s="43"/>
      <c r="B199" s="43"/>
      <c r="C199" s="41"/>
      <c r="D199" s="21" t="s">
        <v>166</v>
      </c>
      <c r="E199" s="1"/>
      <c r="F199" s="1">
        <v>1</v>
      </c>
      <c r="G199" s="1"/>
      <c r="H199" s="1"/>
    </row>
    <row r="200" spans="1:8" x14ac:dyDescent="0.3">
      <c r="A200" s="43"/>
      <c r="B200" s="44"/>
      <c r="C200" s="41"/>
      <c r="D200" s="21" t="s">
        <v>167</v>
      </c>
      <c r="E200" s="1"/>
      <c r="F200" s="1">
        <v>1</v>
      </c>
      <c r="G200" s="11">
        <f>SUM(F173:F200)</f>
        <v>28</v>
      </c>
      <c r="H200" s="1"/>
    </row>
    <row r="201" spans="1:8" x14ac:dyDescent="0.3">
      <c r="A201" s="43"/>
      <c r="B201" s="41" t="s">
        <v>434</v>
      </c>
      <c r="C201" s="42" t="s">
        <v>169</v>
      </c>
      <c r="D201" s="21" t="s">
        <v>170</v>
      </c>
      <c r="E201" s="1"/>
      <c r="F201" s="1">
        <v>1</v>
      </c>
      <c r="G201" s="1"/>
      <c r="H201" s="1"/>
    </row>
    <row r="202" spans="1:8" x14ac:dyDescent="0.3">
      <c r="A202" s="43"/>
      <c r="B202" s="41"/>
      <c r="C202" s="43"/>
      <c r="D202" s="21" t="s">
        <v>171</v>
      </c>
      <c r="E202" s="1"/>
      <c r="F202" s="1">
        <v>1</v>
      </c>
      <c r="G202" s="1"/>
      <c r="H202" s="1"/>
    </row>
    <row r="203" spans="1:8" x14ac:dyDescent="0.3">
      <c r="A203" s="43"/>
      <c r="B203" s="41"/>
      <c r="C203" s="43"/>
      <c r="D203" s="21" t="s">
        <v>172</v>
      </c>
      <c r="E203" s="1"/>
      <c r="F203" s="1">
        <v>1</v>
      </c>
      <c r="G203" s="1"/>
      <c r="H203" s="1"/>
    </row>
    <row r="204" spans="1:8" x14ac:dyDescent="0.3">
      <c r="A204" s="43"/>
      <c r="B204" s="41"/>
      <c r="C204" s="43"/>
      <c r="D204" s="21" t="s">
        <v>173</v>
      </c>
      <c r="E204" s="1"/>
      <c r="F204" s="1">
        <v>1</v>
      </c>
      <c r="G204" s="1"/>
      <c r="H204" s="1"/>
    </row>
    <row r="205" spans="1:8" x14ac:dyDescent="0.3">
      <c r="A205" s="43"/>
      <c r="B205" s="41"/>
      <c r="C205" s="44"/>
      <c r="D205" s="21" t="s">
        <v>174</v>
      </c>
      <c r="E205" s="1"/>
      <c r="F205" s="1">
        <v>1</v>
      </c>
      <c r="G205" s="1"/>
      <c r="H205" s="1"/>
    </row>
    <row r="206" spans="1:8" x14ac:dyDescent="0.3">
      <c r="A206" s="43"/>
      <c r="B206" s="41"/>
      <c r="C206" s="42" t="s">
        <v>175</v>
      </c>
      <c r="D206" s="21" t="s">
        <v>176</v>
      </c>
      <c r="E206" s="1"/>
      <c r="F206" s="1">
        <v>1</v>
      </c>
      <c r="G206" s="1"/>
      <c r="H206" s="1"/>
    </row>
    <row r="207" spans="1:8" x14ac:dyDescent="0.3">
      <c r="A207" s="43"/>
      <c r="B207" s="41"/>
      <c r="C207" s="43"/>
      <c r="D207" s="21" t="s">
        <v>177</v>
      </c>
      <c r="E207" s="1"/>
      <c r="F207" s="1">
        <v>1</v>
      </c>
      <c r="G207" s="1"/>
      <c r="H207" s="1"/>
    </row>
    <row r="208" spans="1:8" x14ac:dyDescent="0.3">
      <c r="A208" s="43"/>
      <c r="B208" s="41"/>
      <c r="C208" s="43"/>
      <c r="D208" s="21" t="s">
        <v>551</v>
      </c>
      <c r="E208" s="1"/>
      <c r="F208" s="1">
        <v>1</v>
      </c>
      <c r="G208" s="1"/>
      <c r="H208" s="1"/>
    </row>
    <row r="209" spans="1:8" x14ac:dyDescent="0.3">
      <c r="A209" s="43"/>
      <c r="B209" s="41"/>
      <c r="C209" s="43"/>
      <c r="D209" s="21" t="s">
        <v>179</v>
      </c>
      <c r="E209" s="1"/>
      <c r="F209" s="1">
        <v>1</v>
      </c>
      <c r="G209" s="1"/>
      <c r="H209" s="1"/>
    </row>
    <row r="210" spans="1:8" x14ac:dyDescent="0.3">
      <c r="A210" s="43"/>
      <c r="B210" s="41"/>
      <c r="C210" s="43"/>
      <c r="D210" s="21" t="s">
        <v>180</v>
      </c>
      <c r="E210" s="1"/>
      <c r="F210" s="1">
        <v>1</v>
      </c>
      <c r="G210" s="1"/>
      <c r="H210" s="1"/>
    </row>
    <row r="211" spans="1:8" x14ac:dyDescent="0.3">
      <c r="A211" s="43"/>
      <c r="B211" s="41"/>
      <c r="C211" s="43"/>
      <c r="D211" s="21" t="s">
        <v>181</v>
      </c>
      <c r="E211" s="1"/>
      <c r="F211" s="1">
        <v>1</v>
      </c>
      <c r="G211" s="1"/>
      <c r="H211" s="1"/>
    </row>
    <row r="212" spans="1:8" x14ac:dyDescent="0.3">
      <c r="A212" s="43"/>
      <c r="B212" s="41"/>
      <c r="C212" s="44"/>
      <c r="D212" s="21" t="s">
        <v>182</v>
      </c>
      <c r="E212" s="1"/>
      <c r="F212" s="1">
        <v>1</v>
      </c>
      <c r="G212" s="1"/>
      <c r="H212" s="1"/>
    </row>
    <row r="213" spans="1:8" x14ac:dyDescent="0.3">
      <c r="A213" s="43"/>
      <c r="B213" s="41"/>
      <c r="C213" s="42" t="s">
        <v>183</v>
      </c>
      <c r="D213" s="21" t="s">
        <v>184</v>
      </c>
      <c r="E213" s="1"/>
      <c r="F213" s="1">
        <v>1</v>
      </c>
      <c r="G213" s="1"/>
      <c r="H213" s="1"/>
    </row>
    <row r="214" spans="1:8" x14ac:dyDescent="0.3">
      <c r="A214" s="43"/>
      <c r="B214" s="41"/>
      <c r="C214" s="43"/>
      <c r="D214" s="21" t="s">
        <v>185</v>
      </c>
      <c r="E214" s="1"/>
      <c r="F214" s="1">
        <v>1</v>
      </c>
      <c r="G214" s="1"/>
      <c r="H214" s="1"/>
    </row>
    <row r="215" spans="1:8" x14ac:dyDescent="0.3">
      <c r="A215" s="43"/>
      <c r="B215" s="41"/>
      <c r="C215" s="43"/>
      <c r="D215" s="21" t="s">
        <v>186</v>
      </c>
      <c r="E215" s="1"/>
      <c r="F215" s="1">
        <v>1</v>
      </c>
      <c r="G215" s="1"/>
      <c r="H215" s="1"/>
    </row>
    <row r="216" spans="1:8" x14ac:dyDescent="0.3">
      <c r="A216" s="43"/>
      <c r="B216" s="41"/>
      <c r="C216" s="43"/>
      <c r="D216" s="21" t="s">
        <v>187</v>
      </c>
      <c r="E216" s="1"/>
      <c r="F216" s="1">
        <v>1</v>
      </c>
      <c r="G216" s="1"/>
      <c r="H216" s="1"/>
    </row>
    <row r="217" spans="1:8" x14ac:dyDescent="0.3">
      <c r="A217" s="43"/>
      <c r="B217" s="41"/>
      <c r="C217" s="43"/>
      <c r="D217" s="21" t="s">
        <v>188</v>
      </c>
      <c r="E217" s="1"/>
      <c r="F217" s="1">
        <v>1</v>
      </c>
      <c r="G217" s="1"/>
      <c r="H217" s="1"/>
    </row>
    <row r="218" spans="1:8" x14ac:dyDescent="0.3">
      <c r="A218" s="43"/>
      <c r="B218" s="41"/>
      <c r="C218" s="43"/>
      <c r="D218" s="21" t="s">
        <v>189</v>
      </c>
      <c r="E218" s="1"/>
      <c r="F218" s="1">
        <v>1</v>
      </c>
      <c r="G218" s="1"/>
      <c r="H218" s="1"/>
    </row>
    <row r="219" spans="1:8" x14ac:dyDescent="0.3">
      <c r="A219" s="43"/>
      <c r="B219" s="41"/>
      <c r="C219" s="44"/>
      <c r="D219" s="21" t="s">
        <v>190</v>
      </c>
      <c r="E219" s="1"/>
      <c r="F219" s="1">
        <v>1</v>
      </c>
      <c r="G219" s="1"/>
      <c r="H219" s="1"/>
    </row>
    <row r="220" spans="1:8" x14ac:dyDescent="0.3">
      <c r="A220" s="43"/>
      <c r="B220" s="41"/>
      <c r="C220" s="43" t="s">
        <v>191</v>
      </c>
      <c r="D220" s="21" t="s">
        <v>553</v>
      </c>
      <c r="E220" s="1"/>
      <c r="F220" s="1">
        <v>1</v>
      </c>
      <c r="G220" s="1"/>
      <c r="H220" s="1"/>
    </row>
    <row r="221" spans="1:8" x14ac:dyDescent="0.3">
      <c r="A221" s="43"/>
      <c r="B221" s="41"/>
      <c r="C221" s="43"/>
      <c r="D221" s="21" t="s">
        <v>552</v>
      </c>
      <c r="E221" s="1"/>
      <c r="F221" s="1">
        <v>1</v>
      </c>
      <c r="G221" s="1"/>
      <c r="H221" s="1"/>
    </row>
    <row r="222" spans="1:8" x14ac:dyDescent="0.3">
      <c r="A222" s="43"/>
      <c r="B222" s="41"/>
      <c r="C222" s="43"/>
      <c r="D222" s="21" t="s">
        <v>554</v>
      </c>
      <c r="E222" s="1"/>
      <c r="F222" s="1">
        <v>1</v>
      </c>
      <c r="G222" s="1"/>
      <c r="H222" s="1"/>
    </row>
    <row r="223" spans="1:8" x14ac:dyDescent="0.3">
      <c r="A223" s="43"/>
      <c r="B223" s="41"/>
      <c r="C223" s="42" t="s">
        <v>201</v>
      </c>
      <c r="D223" s="21" t="s">
        <v>202</v>
      </c>
      <c r="E223" s="1"/>
      <c r="F223" s="1">
        <v>1</v>
      </c>
      <c r="G223" s="1"/>
      <c r="H223" s="1"/>
    </row>
    <row r="224" spans="1:8" x14ac:dyDescent="0.3">
      <c r="A224" s="43"/>
      <c r="B224" s="41"/>
      <c r="C224" s="43"/>
      <c r="D224" s="21" t="s">
        <v>203</v>
      </c>
      <c r="E224" s="1"/>
      <c r="F224" s="1">
        <v>1</v>
      </c>
      <c r="G224" s="1"/>
      <c r="H224" s="1"/>
    </row>
    <row r="225" spans="1:8" x14ac:dyDescent="0.3">
      <c r="A225" s="43"/>
      <c r="B225" s="41"/>
      <c r="C225" s="43"/>
      <c r="D225" s="21" t="s">
        <v>204</v>
      </c>
      <c r="E225" s="1"/>
      <c r="F225" s="1">
        <v>1</v>
      </c>
      <c r="G225" s="1"/>
      <c r="H225" s="1"/>
    </row>
    <row r="226" spans="1:8" x14ac:dyDescent="0.3">
      <c r="A226" s="43"/>
      <c r="B226" s="41"/>
      <c r="C226" s="43"/>
      <c r="D226" s="21" t="s">
        <v>205</v>
      </c>
      <c r="E226" s="1"/>
      <c r="F226" s="1">
        <v>1</v>
      </c>
      <c r="G226" s="1"/>
      <c r="H226" s="1"/>
    </row>
    <row r="227" spans="1:8" x14ac:dyDescent="0.3">
      <c r="A227" s="43"/>
      <c r="B227" s="41"/>
      <c r="C227" s="43"/>
      <c r="D227" s="21" t="s">
        <v>555</v>
      </c>
      <c r="E227" s="1"/>
      <c r="F227" s="1">
        <v>1</v>
      </c>
      <c r="G227" s="1"/>
      <c r="H227" s="1"/>
    </row>
    <row r="228" spans="1:8" x14ac:dyDescent="0.3">
      <c r="A228" s="43"/>
      <c r="B228" s="41"/>
      <c r="C228" s="42" t="s">
        <v>208</v>
      </c>
      <c r="D228" s="21" t="s">
        <v>209</v>
      </c>
      <c r="E228" s="1"/>
      <c r="F228" s="1">
        <v>1</v>
      </c>
      <c r="G228" s="1"/>
      <c r="H228" s="1"/>
    </row>
    <row r="229" spans="1:8" x14ac:dyDescent="0.3">
      <c r="A229" s="43"/>
      <c r="B229" s="41"/>
      <c r="C229" s="43"/>
      <c r="D229" s="21" t="s">
        <v>556</v>
      </c>
      <c r="E229" s="1"/>
      <c r="F229" s="1">
        <v>1</v>
      </c>
      <c r="G229" s="1"/>
      <c r="H229" s="1"/>
    </row>
    <row r="230" spans="1:8" x14ac:dyDescent="0.3">
      <c r="A230" s="43"/>
      <c r="B230" s="41"/>
      <c r="C230" s="43"/>
      <c r="D230" s="21" t="s">
        <v>558</v>
      </c>
      <c r="E230" s="1"/>
      <c r="F230" s="1">
        <v>1</v>
      </c>
      <c r="G230" s="1"/>
      <c r="H230" s="1"/>
    </row>
    <row r="231" spans="1:8" x14ac:dyDescent="0.3">
      <c r="A231" s="43"/>
      <c r="B231" s="41"/>
      <c r="C231" s="43"/>
      <c r="D231" s="21" t="s">
        <v>557</v>
      </c>
      <c r="E231" s="1"/>
      <c r="F231" s="1">
        <v>1</v>
      </c>
      <c r="G231" s="1"/>
      <c r="H231" s="1"/>
    </row>
    <row r="232" spans="1:8" x14ac:dyDescent="0.3">
      <c r="A232" s="43"/>
      <c r="B232" s="41"/>
      <c r="C232" s="44"/>
      <c r="D232" s="21" t="s">
        <v>559</v>
      </c>
      <c r="E232" s="1"/>
      <c r="F232" s="1">
        <v>1</v>
      </c>
      <c r="G232" s="1"/>
      <c r="H232" s="1"/>
    </row>
    <row r="233" spans="1:8" x14ac:dyDescent="0.3">
      <c r="A233" s="43"/>
      <c r="B233" s="41"/>
      <c r="C233" s="42" t="s">
        <v>215</v>
      </c>
      <c r="D233" s="21" t="s">
        <v>560</v>
      </c>
      <c r="E233" s="1"/>
      <c r="F233" s="1">
        <v>1</v>
      </c>
      <c r="G233" s="1"/>
      <c r="H233" s="1"/>
    </row>
    <row r="234" spans="1:8" x14ac:dyDescent="0.3">
      <c r="A234" s="43"/>
      <c r="B234" s="41"/>
      <c r="C234" s="43"/>
      <c r="D234" s="21" t="s">
        <v>561</v>
      </c>
      <c r="E234" s="1"/>
      <c r="F234" s="1">
        <v>1</v>
      </c>
      <c r="G234" s="1"/>
      <c r="H234" s="1"/>
    </row>
    <row r="235" spans="1:8" x14ac:dyDescent="0.3">
      <c r="A235" s="43"/>
      <c r="B235" s="41"/>
      <c r="C235" s="43"/>
      <c r="D235" s="21" t="s">
        <v>562</v>
      </c>
      <c r="E235" s="1"/>
      <c r="F235" s="1">
        <v>1</v>
      </c>
      <c r="G235" s="1"/>
      <c r="H235" s="1"/>
    </row>
    <row r="236" spans="1:8" x14ac:dyDescent="0.3">
      <c r="A236" s="43"/>
      <c r="B236" s="41"/>
      <c r="C236" s="44"/>
      <c r="D236" s="21" t="s">
        <v>563</v>
      </c>
      <c r="E236" s="1"/>
      <c r="F236" s="1">
        <v>1</v>
      </c>
      <c r="G236" s="11">
        <f>SUM(F201:F236)</f>
        <v>36</v>
      </c>
      <c r="H236" s="1"/>
    </row>
    <row r="237" spans="1:8" x14ac:dyDescent="0.3">
      <c r="A237" s="43"/>
      <c r="B237" s="42" t="s">
        <v>564</v>
      </c>
      <c r="C237" s="42" t="s">
        <v>565</v>
      </c>
      <c r="D237" s="21" t="s">
        <v>566</v>
      </c>
      <c r="E237" s="1"/>
      <c r="F237" s="1">
        <v>1</v>
      </c>
      <c r="G237" s="1"/>
      <c r="H237" s="1"/>
    </row>
    <row r="238" spans="1:8" x14ac:dyDescent="0.3">
      <c r="A238" s="43"/>
      <c r="B238" s="43"/>
      <c r="C238" s="44"/>
      <c r="D238" s="21" t="s">
        <v>567</v>
      </c>
      <c r="E238" s="1"/>
      <c r="F238" s="1">
        <v>1</v>
      </c>
      <c r="G238" s="1"/>
      <c r="H238" s="1"/>
    </row>
    <row r="239" spans="1:8" x14ac:dyDescent="0.3">
      <c r="A239" s="43"/>
      <c r="B239" s="43"/>
      <c r="C239" s="42" t="s">
        <v>568</v>
      </c>
      <c r="D239" s="21" t="s">
        <v>569</v>
      </c>
      <c r="E239" s="1"/>
      <c r="F239" s="1">
        <v>1</v>
      </c>
      <c r="G239" s="1"/>
      <c r="H239" s="1"/>
    </row>
    <row r="240" spans="1:8" x14ac:dyDescent="0.3">
      <c r="A240" s="43"/>
      <c r="B240" s="43"/>
      <c r="C240" s="43"/>
      <c r="D240" s="21" t="s">
        <v>570</v>
      </c>
      <c r="E240" s="1"/>
      <c r="F240" s="1">
        <v>1</v>
      </c>
      <c r="G240" s="1"/>
      <c r="H240" s="1"/>
    </row>
    <row r="241" spans="1:8" x14ac:dyDescent="0.3">
      <c r="A241" s="43"/>
      <c r="B241" s="43"/>
      <c r="C241" s="43"/>
      <c r="D241" s="21" t="s">
        <v>571</v>
      </c>
      <c r="E241" s="1"/>
      <c r="F241" s="1">
        <v>1</v>
      </c>
      <c r="G241" s="1"/>
      <c r="H241" s="1"/>
    </row>
    <row r="242" spans="1:8" x14ac:dyDescent="0.3">
      <c r="A242" s="43"/>
      <c r="B242" s="43"/>
      <c r="C242" s="44"/>
      <c r="D242" s="21" t="s">
        <v>572</v>
      </c>
      <c r="E242" s="1"/>
      <c r="F242" s="1">
        <v>1</v>
      </c>
      <c r="G242" s="1"/>
      <c r="H242" s="1"/>
    </row>
    <row r="243" spans="1:8" x14ac:dyDescent="0.3">
      <c r="A243" s="43"/>
      <c r="B243" s="43"/>
      <c r="C243" s="42" t="s">
        <v>573</v>
      </c>
      <c r="D243" s="21" t="s">
        <v>574</v>
      </c>
      <c r="E243" s="1"/>
      <c r="F243" s="1">
        <v>1</v>
      </c>
      <c r="G243" s="1"/>
      <c r="H243" s="1"/>
    </row>
    <row r="244" spans="1:8" x14ac:dyDescent="0.3">
      <c r="A244" s="43"/>
      <c r="B244" s="43"/>
      <c r="C244" s="43"/>
      <c r="D244" s="21" t="s">
        <v>575</v>
      </c>
      <c r="E244" s="1"/>
      <c r="F244" s="1">
        <v>1</v>
      </c>
      <c r="G244" s="1"/>
      <c r="H244" s="1"/>
    </row>
    <row r="245" spans="1:8" x14ac:dyDescent="0.3">
      <c r="A245" s="43"/>
      <c r="B245" s="43"/>
      <c r="C245" s="43"/>
      <c r="D245" s="21" t="s">
        <v>576</v>
      </c>
      <c r="E245" s="1"/>
      <c r="F245" s="1">
        <v>1</v>
      </c>
      <c r="G245" s="1"/>
      <c r="H245" s="1"/>
    </row>
    <row r="246" spans="1:8" x14ac:dyDescent="0.3">
      <c r="A246" s="43"/>
      <c r="B246" s="43"/>
      <c r="C246" s="43"/>
      <c r="D246" s="21" t="s">
        <v>578</v>
      </c>
      <c r="E246" s="1"/>
      <c r="F246" s="1">
        <v>1</v>
      </c>
      <c r="G246" s="1"/>
      <c r="H246" s="1"/>
    </row>
    <row r="247" spans="1:8" x14ac:dyDescent="0.3">
      <c r="A247" s="44"/>
      <c r="B247" s="44"/>
      <c r="C247" s="44"/>
      <c r="D247" s="21" t="s">
        <v>577</v>
      </c>
      <c r="E247" s="1"/>
      <c r="F247" s="1">
        <v>1</v>
      </c>
      <c r="G247" s="11">
        <f>SUM(F237:F247)</f>
        <v>11</v>
      </c>
      <c r="H247" s="11">
        <f>SUM(G2:G247)</f>
        <v>246</v>
      </c>
    </row>
    <row r="248" spans="1:8" ht="33" x14ac:dyDescent="0.3">
      <c r="A248" s="42" t="s">
        <v>76</v>
      </c>
      <c r="B248" s="21" t="s">
        <v>77</v>
      </c>
      <c r="C248" s="21"/>
      <c r="D248" s="21"/>
      <c r="E248" s="2" t="s">
        <v>432</v>
      </c>
      <c r="F248" s="1">
        <v>1</v>
      </c>
      <c r="G248" s="1"/>
      <c r="H248" s="1"/>
    </row>
    <row r="249" spans="1:8" x14ac:dyDescent="0.3">
      <c r="A249" s="43"/>
      <c r="B249" s="21" t="s">
        <v>78</v>
      </c>
      <c r="C249" s="21"/>
      <c r="D249" s="21"/>
      <c r="E249" s="1"/>
      <c r="F249" s="1">
        <v>1</v>
      </c>
      <c r="G249" s="1"/>
      <c r="H249" s="1"/>
    </row>
    <row r="250" spans="1:8" x14ac:dyDescent="0.3">
      <c r="A250" s="43"/>
      <c r="B250" s="21" t="s">
        <v>79</v>
      </c>
      <c r="C250" s="21"/>
      <c r="D250" s="21"/>
      <c r="E250" s="1"/>
      <c r="F250" s="1">
        <v>1</v>
      </c>
      <c r="G250" s="1"/>
      <c r="H250" s="1"/>
    </row>
    <row r="251" spans="1:8" x14ac:dyDescent="0.3">
      <c r="A251" s="43"/>
      <c r="B251" s="21" t="s">
        <v>80</v>
      </c>
      <c r="C251" s="21"/>
      <c r="D251" s="21"/>
      <c r="E251" s="1"/>
      <c r="F251" s="1">
        <v>1</v>
      </c>
      <c r="G251" s="1"/>
      <c r="H251" s="1"/>
    </row>
    <row r="252" spans="1:8" x14ac:dyDescent="0.3">
      <c r="A252" s="44"/>
      <c r="B252" s="21" t="s">
        <v>81</v>
      </c>
      <c r="C252" s="21"/>
      <c r="D252" s="21"/>
      <c r="E252" s="1"/>
      <c r="F252" s="1">
        <v>1</v>
      </c>
      <c r="G252" s="11">
        <f>SUM(F248:F252)</f>
        <v>5</v>
      </c>
      <c r="H252" s="1"/>
    </row>
    <row r="253" spans="1:8" x14ac:dyDescent="0.3">
      <c r="A253" s="42" t="s">
        <v>435</v>
      </c>
      <c r="B253" s="42" t="s">
        <v>376</v>
      </c>
      <c r="C253" s="21" t="s">
        <v>381</v>
      </c>
      <c r="D253" s="21"/>
      <c r="E253" s="1"/>
      <c r="F253" s="1">
        <v>1</v>
      </c>
      <c r="G253" s="1"/>
      <c r="H253" s="1"/>
    </row>
    <row r="254" spans="1:8" x14ac:dyDescent="0.3">
      <c r="A254" s="43"/>
      <c r="B254" s="44"/>
      <c r="C254" s="21" t="s">
        <v>382</v>
      </c>
      <c r="D254" s="21"/>
      <c r="E254" s="1"/>
      <c r="F254" s="1">
        <v>1</v>
      </c>
      <c r="G254" s="1"/>
      <c r="H254" s="1"/>
    </row>
    <row r="255" spans="1:8" x14ac:dyDescent="0.3">
      <c r="A255" s="43"/>
      <c r="B255" s="42" t="s">
        <v>377</v>
      </c>
      <c r="C255" s="21" t="s">
        <v>383</v>
      </c>
      <c r="D255" s="21"/>
      <c r="E255" s="1"/>
      <c r="F255" s="1">
        <v>1</v>
      </c>
      <c r="G255" s="1"/>
      <c r="H255" s="1"/>
    </row>
    <row r="256" spans="1:8" x14ac:dyDescent="0.3">
      <c r="A256" s="43"/>
      <c r="B256" s="43"/>
      <c r="C256" s="21" t="s">
        <v>384</v>
      </c>
      <c r="D256" s="21"/>
      <c r="E256" s="1"/>
      <c r="F256" s="1">
        <v>1</v>
      </c>
      <c r="G256" s="1"/>
      <c r="H256" s="1"/>
    </row>
    <row r="257" spans="1:8" x14ac:dyDescent="0.3">
      <c r="A257" s="43"/>
      <c r="B257" s="44"/>
      <c r="C257" s="21" t="s">
        <v>385</v>
      </c>
      <c r="D257" s="21"/>
      <c r="E257" s="1"/>
      <c r="F257" s="1">
        <v>1</v>
      </c>
      <c r="G257" s="1"/>
      <c r="H257" s="1"/>
    </row>
    <row r="258" spans="1:8" x14ac:dyDescent="0.3">
      <c r="A258" s="43"/>
      <c r="B258" s="42" t="s">
        <v>378</v>
      </c>
      <c r="C258" s="21" t="s">
        <v>386</v>
      </c>
      <c r="D258" s="21"/>
      <c r="E258" s="1"/>
      <c r="F258" s="1">
        <v>1</v>
      </c>
      <c r="G258" s="1"/>
      <c r="H258" s="1"/>
    </row>
    <row r="259" spans="1:8" x14ac:dyDescent="0.3">
      <c r="A259" s="43"/>
      <c r="B259" s="43"/>
      <c r="C259" s="21" t="s">
        <v>387</v>
      </c>
      <c r="D259" s="21"/>
      <c r="E259" s="1"/>
      <c r="F259" s="1">
        <v>1</v>
      </c>
      <c r="G259" s="1"/>
      <c r="H259" s="1"/>
    </row>
    <row r="260" spans="1:8" x14ac:dyDescent="0.3">
      <c r="A260" s="43"/>
      <c r="B260" s="44"/>
      <c r="C260" s="21" t="s">
        <v>388</v>
      </c>
      <c r="D260" s="21"/>
      <c r="E260" s="1"/>
      <c r="F260" s="1">
        <v>1</v>
      </c>
      <c r="G260" s="1"/>
      <c r="H260" s="1"/>
    </row>
    <row r="261" spans="1:8" x14ac:dyDescent="0.3">
      <c r="A261" s="43"/>
      <c r="B261" s="42" t="s">
        <v>379</v>
      </c>
      <c r="C261" s="21" t="s">
        <v>389</v>
      </c>
      <c r="D261" s="21"/>
      <c r="E261" s="1"/>
      <c r="F261" s="1">
        <v>1</v>
      </c>
      <c r="G261" s="1"/>
      <c r="H261" s="1"/>
    </row>
    <row r="262" spans="1:8" x14ac:dyDescent="0.3">
      <c r="A262" s="43"/>
      <c r="B262" s="43"/>
      <c r="C262" s="21" t="s">
        <v>390</v>
      </c>
      <c r="D262" s="21"/>
      <c r="E262" s="1"/>
      <c r="F262" s="1">
        <v>1</v>
      </c>
      <c r="G262" s="1"/>
      <c r="H262" s="1"/>
    </row>
    <row r="263" spans="1:8" x14ac:dyDescent="0.3">
      <c r="A263" s="43"/>
      <c r="B263" s="44"/>
      <c r="C263" s="21" t="s">
        <v>391</v>
      </c>
      <c r="D263" s="21"/>
      <c r="E263" s="1"/>
      <c r="F263" s="1">
        <v>1</v>
      </c>
      <c r="G263" s="1"/>
      <c r="H263" s="1"/>
    </row>
    <row r="264" spans="1:8" x14ac:dyDescent="0.3">
      <c r="A264" s="43"/>
      <c r="B264" s="42" t="s">
        <v>380</v>
      </c>
      <c r="C264" s="21" t="s">
        <v>392</v>
      </c>
      <c r="D264" s="21"/>
      <c r="E264" s="1"/>
      <c r="F264" s="1">
        <v>1</v>
      </c>
      <c r="G264" s="1"/>
      <c r="H264" s="1"/>
    </row>
    <row r="265" spans="1:8" x14ac:dyDescent="0.3">
      <c r="A265" s="43"/>
      <c r="B265" s="43"/>
      <c r="C265" s="21" t="s">
        <v>393</v>
      </c>
      <c r="D265" s="21"/>
      <c r="E265" s="1"/>
      <c r="F265" s="1">
        <v>1</v>
      </c>
      <c r="G265" s="1"/>
      <c r="H265" s="1"/>
    </row>
    <row r="266" spans="1:8" x14ac:dyDescent="0.3">
      <c r="A266" s="43"/>
      <c r="B266" s="43"/>
      <c r="C266" s="21" t="s">
        <v>394</v>
      </c>
      <c r="D266" s="21"/>
      <c r="E266" s="1"/>
      <c r="F266" s="1">
        <v>1</v>
      </c>
      <c r="G266" s="1"/>
      <c r="H266" s="1"/>
    </row>
    <row r="267" spans="1:8" x14ac:dyDescent="0.3">
      <c r="A267" s="43"/>
      <c r="B267" s="43"/>
      <c r="C267" s="21" t="s">
        <v>395</v>
      </c>
      <c r="D267" s="21"/>
      <c r="E267" s="1"/>
      <c r="F267" s="1">
        <v>1</v>
      </c>
      <c r="G267" s="1"/>
      <c r="H267" s="1"/>
    </row>
    <row r="268" spans="1:8" x14ac:dyDescent="0.3">
      <c r="A268" s="43"/>
      <c r="B268" s="43"/>
      <c r="C268" s="21" t="s">
        <v>396</v>
      </c>
      <c r="D268" s="21"/>
      <c r="E268" s="1"/>
      <c r="F268" s="1">
        <v>1</v>
      </c>
      <c r="G268" s="1"/>
      <c r="H268" s="1"/>
    </row>
    <row r="269" spans="1:8" x14ac:dyDescent="0.3">
      <c r="A269" s="44"/>
      <c r="B269" s="44"/>
      <c r="C269" s="21" t="s">
        <v>397</v>
      </c>
      <c r="D269" s="21"/>
      <c r="E269" s="1"/>
      <c r="F269" s="1">
        <v>1</v>
      </c>
      <c r="G269" s="11">
        <f>SUM(F253:F269)</f>
        <v>17</v>
      </c>
      <c r="H269" s="1"/>
    </row>
    <row r="270" spans="1:8" x14ac:dyDescent="0.3">
      <c r="A270" s="20" t="s">
        <v>579</v>
      </c>
      <c r="B270" s="21" t="s">
        <v>374</v>
      </c>
      <c r="C270" s="21"/>
      <c r="D270" s="21"/>
      <c r="E270" s="1"/>
      <c r="F270" s="1">
        <v>1</v>
      </c>
      <c r="G270" s="11">
        <f>SUM(F270)</f>
        <v>1</v>
      </c>
      <c r="H270" s="1"/>
    </row>
    <row r="271" spans="1:8" x14ac:dyDescent="0.3">
      <c r="A271" s="20" t="s">
        <v>580</v>
      </c>
      <c r="B271" s="21"/>
      <c r="C271" s="21"/>
      <c r="D271" s="21"/>
      <c r="E271" s="1"/>
      <c r="F271" s="1">
        <v>1</v>
      </c>
      <c r="G271" s="11">
        <f>SUM(F271)</f>
        <v>1</v>
      </c>
      <c r="H271" s="11">
        <f>SUM(G248:G271)</f>
        <v>24</v>
      </c>
    </row>
    <row r="272" spans="1:8" x14ac:dyDescent="0.3">
      <c r="A272" s="29" t="s">
        <v>330</v>
      </c>
      <c r="B272" s="29"/>
      <c r="C272" s="29"/>
      <c r="D272" s="29"/>
      <c r="E272" s="9"/>
      <c r="F272" s="10">
        <f>SUM(F2:F271)</f>
        <v>270</v>
      </c>
      <c r="G272" s="10">
        <f>SUM(G2:G271)</f>
        <v>270</v>
      </c>
      <c r="H272" s="10">
        <f>SUM(H2:H271)</f>
        <v>270</v>
      </c>
    </row>
    <row r="275" spans="1:1" x14ac:dyDescent="0.3">
      <c r="A275" s="28"/>
    </row>
  </sheetData>
  <mergeCells count="56">
    <mergeCell ref="C59:C62"/>
    <mergeCell ref="B59:B62"/>
    <mergeCell ref="C40:C52"/>
    <mergeCell ref="C53:C58"/>
    <mergeCell ref="C2:C10"/>
    <mergeCell ref="C11:C21"/>
    <mergeCell ref="C22:C23"/>
    <mergeCell ref="C24:C30"/>
    <mergeCell ref="C31:C34"/>
    <mergeCell ref="C35:C39"/>
    <mergeCell ref="C93:C100"/>
    <mergeCell ref="C73:C92"/>
    <mergeCell ref="C66:C72"/>
    <mergeCell ref="C63:C65"/>
    <mergeCell ref="B63:B122"/>
    <mergeCell ref="C120:C122"/>
    <mergeCell ref="C116:C119"/>
    <mergeCell ref="C109:C115"/>
    <mergeCell ref="C105:C108"/>
    <mergeCell ref="C101:C104"/>
    <mergeCell ref="C243:C247"/>
    <mergeCell ref="C239:C242"/>
    <mergeCell ref="C237:C238"/>
    <mergeCell ref="B237:B247"/>
    <mergeCell ref="C173:C176"/>
    <mergeCell ref="C206:C212"/>
    <mergeCell ref="C201:C205"/>
    <mergeCell ref="C194:C200"/>
    <mergeCell ref="C188:C193"/>
    <mergeCell ref="C181:C187"/>
    <mergeCell ref="C177:C180"/>
    <mergeCell ref="C233:C236"/>
    <mergeCell ref="C228:C232"/>
    <mergeCell ref="C223:C227"/>
    <mergeCell ref="C220:C222"/>
    <mergeCell ref="C213:C219"/>
    <mergeCell ref="C131:C145"/>
    <mergeCell ref="C123:C129"/>
    <mergeCell ref="B201:B236"/>
    <mergeCell ref="B173:B200"/>
    <mergeCell ref="B123:B172"/>
    <mergeCell ref="C165:C171"/>
    <mergeCell ref="C162:C164"/>
    <mergeCell ref="C155:C161"/>
    <mergeCell ref="C152:C154"/>
    <mergeCell ref="C146:C151"/>
    <mergeCell ref="A2:A247"/>
    <mergeCell ref="B264:B269"/>
    <mergeCell ref="B253:B254"/>
    <mergeCell ref="B255:B257"/>
    <mergeCell ref="B258:B260"/>
    <mergeCell ref="B261:B263"/>
    <mergeCell ref="A248:A252"/>
    <mergeCell ref="A253:A269"/>
    <mergeCell ref="B2:B34"/>
    <mergeCell ref="B35:B58"/>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9AF1F-18E8-4321-8BB7-907A1B29186A}">
  <dimension ref="A1:H125"/>
  <sheetViews>
    <sheetView topLeftCell="A71" zoomScaleNormal="100" workbookViewId="0">
      <selection activeCell="D126" sqref="D126"/>
    </sheetView>
  </sheetViews>
  <sheetFormatPr defaultRowHeight="16.5" x14ac:dyDescent="0.3"/>
  <cols>
    <col min="1" max="1" width="17.25" style="26" customWidth="1"/>
    <col min="2" max="2" width="21.375" style="26" bestFit="1" customWidth="1"/>
    <col min="3" max="3" width="23.125" style="26" customWidth="1"/>
    <col min="4" max="4" width="23.5" style="26" bestFit="1" customWidth="1"/>
    <col min="5" max="5" width="62" bestFit="1" customWidth="1"/>
    <col min="6" max="6" width="11.25" customWidth="1"/>
    <col min="7" max="7" width="13.25" bestFit="1" customWidth="1"/>
    <col min="8" max="8" width="13" bestFit="1" customWidth="1"/>
  </cols>
  <sheetData>
    <row r="1" spans="1:8" x14ac:dyDescent="0.3">
      <c r="A1" s="55" t="s">
        <v>7</v>
      </c>
      <c r="B1" s="55" t="s">
        <v>410</v>
      </c>
      <c r="C1" s="55" t="s">
        <v>411</v>
      </c>
      <c r="D1" s="55" t="s">
        <v>412</v>
      </c>
      <c r="E1" s="55" t="s">
        <v>9</v>
      </c>
      <c r="F1" s="55" t="s">
        <v>284</v>
      </c>
      <c r="G1" s="12" t="s">
        <v>589</v>
      </c>
      <c r="H1" s="56" t="s">
        <v>590</v>
      </c>
    </row>
    <row r="2" spans="1:8" x14ac:dyDescent="0.3">
      <c r="A2" s="54" t="s">
        <v>588</v>
      </c>
      <c r="B2" s="41" t="s">
        <v>403</v>
      </c>
      <c r="C2" s="41" t="s">
        <v>598</v>
      </c>
      <c r="D2" s="52" t="s">
        <v>599</v>
      </c>
      <c r="E2" s="1"/>
      <c r="F2" s="1">
        <v>1</v>
      </c>
      <c r="G2" s="1"/>
      <c r="H2" s="1"/>
    </row>
    <row r="3" spans="1:8" x14ac:dyDescent="0.3">
      <c r="A3" s="54"/>
      <c r="B3" s="41"/>
      <c r="C3" s="41"/>
      <c r="D3" s="52" t="s">
        <v>600</v>
      </c>
      <c r="E3" s="1"/>
      <c r="F3" s="1">
        <v>1</v>
      </c>
      <c r="G3" s="1"/>
      <c r="H3" s="1"/>
    </row>
    <row r="4" spans="1:8" x14ac:dyDescent="0.3">
      <c r="A4" s="54"/>
      <c r="B4" s="41"/>
      <c r="C4" s="41"/>
      <c r="D4" s="52" t="s">
        <v>601</v>
      </c>
      <c r="E4" s="1"/>
      <c r="F4" s="1">
        <v>1</v>
      </c>
      <c r="G4" s="1"/>
      <c r="H4" s="1"/>
    </row>
    <row r="5" spans="1:8" x14ac:dyDescent="0.3">
      <c r="A5" s="54"/>
      <c r="B5" s="41"/>
      <c r="C5" s="41"/>
      <c r="D5" s="52" t="s">
        <v>602</v>
      </c>
      <c r="E5" s="1"/>
      <c r="F5" s="1">
        <v>1</v>
      </c>
      <c r="G5" s="1"/>
      <c r="H5" s="1"/>
    </row>
    <row r="6" spans="1:8" x14ac:dyDescent="0.3">
      <c r="A6" s="54"/>
      <c r="B6" s="41"/>
      <c r="C6" s="41"/>
      <c r="D6" s="52" t="s">
        <v>603</v>
      </c>
      <c r="E6" s="1"/>
      <c r="F6" s="1">
        <v>1</v>
      </c>
      <c r="G6" s="1"/>
      <c r="H6" s="1"/>
    </row>
    <row r="7" spans="1:8" x14ac:dyDescent="0.3">
      <c r="A7" s="54"/>
      <c r="B7" s="41"/>
      <c r="C7" s="41"/>
      <c r="D7" s="52" t="s">
        <v>604</v>
      </c>
      <c r="E7" s="1"/>
      <c r="F7" s="1">
        <v>1</v>
      </c>
      <c r="G7" s="1"/>
      <c r="H7" s="1"/>
    </row>
    <row r="8" spans="1:8" x14ac:dyDescent="0.3">
      <c r="A8" s="54"/>
      <c r="B8" s="41"/>
      <c r="C8" s="41"/>
      <c r="D8" s="52" t="s">
        <v>605</v>
      </c>
      <c r="E8" s="1"/>
      <c r="F8" s="1">
        <v>1</v>
      </c>
      <c r="G8" s="1"/>
      <c r="H8" s="1"/>
    </row>
    <row r="9" spans="1:8" x14ac:dyDescent="0.3">
      <c r="A9" s="54"/>
      <c r="B9" s="41"/>
      <c r="C9" s="41"/>
      <c r="D9" s="52" t="s">
        <v>606</v>
      </c>
      <c r="E9" s="1"/>
      <c r="F9" s="1">
        <v>1</v>
      </c>
      <c r="G9" s="1"/>
      <c r="H9" s="1"/>
    </row>
    <row r="10" spans="1:8" x14ac:dyDescent="0.3">
      <c r="A10" s="54"/>
      <c r="B10" s="41"/>
      <c r="C10" s="41" t="s">
        <v>609</v>
      </c>
      <c r="D10" s="52" t="s">
        <v>607</v>
      </c>
      <c r="E10" s="1"/>
      <c r="F10" s="1">
        <v>1</v>
      </c>
      <c r="G10" s="1"/>
      <c r="H10" s="1"/>
    </row>
    <row r="11" spans="1:8" x14ac:dyDescent="0.3">
      <c r="A11" s="54"/>
      <c r="B11" s="41"/>
      <c r="C11" s="41"/>
      <c r="D11" s="52" t="s">
        <v>608</v>
      </c>
      <c r="E11" s="1"/>
      <c r="F11" s="1">
        <v>1</v>
      </c>
      <c r="G11" s="1"/>
      <c r="H11" s="1"/>
    </row>
    <row r="12" spans="1:8" x14ac:dyDescent="0.3">
      <c r="A12" s="54"/>
      <c r="B12" s="41"/>
      <c r="C12" s="21" t="s">
        <v>610</v>
      </c>
      <c r="D12" s="21" t="s">
        <v>14</v>
      </c>
      <c r="E12" s="1"/>
      <c r="F12" s="1">
        <v>1</v>
      </c>
      <c r="G12" s="1"/>
      <c r="H12" s="1"/>
    </row>
    <row r="13" spans="1:8" x14ac:dyDescent="0.3">
      <c r="A13" s="54"/>
      <c r="B13" s="41"/>
      <c r="C13" s="51" t="s">
        <v>611</v>
      </c>
      <c r="D13" s="52" t="s">
        <v>612</v>
      </c>
      <c r="E13" s="1"/>
      <c r="F13" s="1">
        <v>1</v>
      </c>
      <c r="G13" s="1"/>
      <c r="H13" s="1"/>
    </row>
    <row r="14" spans="1:8" x14ac:dyDescent="0.3">
      <c r="A14" s="54"/>
      <c r="B14" s="41"/>
      <c r="C14" s="51"/>
      <c r="D14" s="52" t="s">
        <v>613</v>
      </c>
      <c r="E14" s="1"/>
      <c r="F14" s="1">
        <v>1</v>
      </c>
      <c r="G14" s="1"/>
      <c r="H14" s="1"/>
    </row>
    <row r="15" spans="1:8" x14ac:dyDescent="0.3">
      <c r="A15" s="54"/>
      <c r="B15" s="41"/>
      <c r="C15" s="51" t="s">
        <v>614</v>
      </c>
      <c r="D15" s="52" t="s">
        <v>615</v>
      </c>
      <c r="E15" s="1"/>
      <c r="F15" s="1">
        <v>1</v>
      </c>
      <c r="G15" s="1"/>
      <c r="H15" s="1"/>
    </row>
    <row r="16" spans="1:8" x14ac:dyDescent="0.3">
      <c r="A16" s="54"/>
      <c r="B16" s="41"/>
      <c r="C16" s="51"/>
      <c r="D16" s="52" t="s">
        <v>616</v>
      </c>
      <c r="E16" s="1"/>
      <c r="F16" s="1">
        <v>1</v>
      </c>
      <c r="G16" s="1"/>
      <c r="H16" s="1"/>
    </row>
    <row r="17" spans="1:8" x14ac:dyDescent="0.3">
      <c r="A17" s="54"/>
      <c r="B17" s="41"/>
      <c r="C17" s="51" t="s">
        <v>617</v>
      </c>
      <c r="D17" s="52" t="s">
        <v>618</v>
      </c>
      <c r="E17" s="1"/>
      <c r="F17" s="1">
        <v>1</v>
      </c>
      <c r="G17" s="1"/>
      <c r="H17" s="1"/>
    </row>
    <row r="18" spans="1:8" x14ac:dyDescent="0.3">
      <c r="A18" s="54"/>
      <c r="B18" s="41"/>
      <c r="C18" s="51"/>
      <c r="D18" s="52" t="s">
        <v>619</v>
      </c>
      <c r="E18" s="1"/>
      <c r="F18" s="1">
        <v>1</v>
      </c>
      <c r="G18" s="1"/>
      <c r="H18" s="1"/>
    </row>
    <row r="19" spans="1:8" x14ac:dyDescent="0.3">
      <c r="A19" s="54"/>
      <c r="B19" s="41"/>
      <c r="C19" s="52" t="s">
        <v>620</v>
      </c>
      <c r="D19" s="52" t="s">
        <v>621</v>
      </c>
      <c r="E19" s="1"/>
      <c r="F19" s="1">
        <v>1</v>
      </c>
      <c r="G19" s="1">
        <f>SUM(F2:F19)</f>
        <v>18</v>
      </c>
      <c r="H19" s="1"/>
    </row>
    <row r="20" spans="1:8" x14ac:dyDescent="0.3">
      <c r="A20" s="54"/>
      <c r="B20" s="41" t="s">
        <v>645</v>
      </c>
      <c r="C20" s="51" t="s">
        <v>622</v>
      </c>
      <c r="D20" s="52" t="s">
        <v>623</v>
      </c>
      <c r="E20" s="1"/>
      <c r="F20" s="1">
        <v>1</v>
      </c>
      <c r="G20" s="1"/>
      <c r="H20" s="1"/>
    </row>
    <row r="21" spans="1:8" x14ac:dyDescent="0.3">
      <c r="A21" s="54"/>
      <c r="B21" s="41"/>
      <c r="C21" s="51"/>
      <c r="D21" s="52" t="s">
        <v>622</v>
      </c>
      <c r="E21" s="1"/>
      <c r="F21" s="1">
        <v>1</v>
      </c>
      <c r="G21" s="1"/>
      <c r="H21" s="1"/>
    </row>
    <row r="22" spans="1:8" x14ac:dyDescent="0.3">
      <c r="A22" s="54"/>
      <c r="B22" s="41"/>
      <c r="C22" s="51" t="s">
        <v>624</v>
      </c>
      <c r="D22" s="52" t="s">
        <v>625</v>
      </c>
      <c r="E22" s="1"/>
      <c r="F22" s="1">
        <v>1</v>
      </c>
      <c r="G22" s="1"/>
      <c r="H22" s="1"/>
    </row>
    <row r="23" spans="1:8" x14ac:dyDescent="0.3">
      <c r="A23" s="54"/>
      <c r="B23" s="41"/>
      <c r="C23" s="51"/>
      <c r="D23" s="52" t="s">
        <v>626</v>
      </c>
      <c r="E23" s="1"/>
      <c r="F23" s="1">
        <v>1</v>
      </c>
      <c r="G23" s="1"/>
      <c r="H23" s="1"/>
    </row>
    <row r="24" spans="1:8" x14ac:dyDescent="0.3">
      <c r="A24" s="54"/>
      <c r="B24" s="41"/>
      <c r="C24" s="52" t="s">
        <v>627</v>
      </c>
      <c r="D24" s="52" t="s">
        <v>627</v>
      </c>
      <c r="E24" s="1"/>
      <c r="F24" s="1">
        <v>1</v>
      </c>
      <c r="G24" s="1"/>
      <c r="H24" s="1"/>
    </row>
    <row r="25" spans="1:8" x14ac:dyDescent="0.3">
      <c r="A25" s="54"/>
      <c r="B25" s="41"/>
      <c r="C25" s="51" t="s">
        <v>628</v>
      </c>
      <c r="D25" s="52" t="s">
        <v>628</v>
      </c>
      <c r="E25" s="1"/>
      <c r="F25" s="1">
        <v>1</v>
      </c>
      <c r="G25" s="1"/>
      <c r="H25" s="1"/>
    </row>
    <row r="26" spans="1:8" x14ac:dyDescent="0.3">
      <c r="A26" s="54"/>
      <c r="B26" s="41"/>
      <c r="C26" s="51"/>
      <c r="D26" s="52" t="s">
        <v>629</v>
      </c>
      <c r="E26" s="1"/>
      <c r="F26" s="1">
        <v>1</v>
      </c>
      <c r="G26" s="1"/>
      <c r="H26" s="1"/>
    </row>
    <row r="27" spans="1:8" x14ac:dyDescent="0.3">
      <c r="A27" s="54"/>
      <c r="B27" s="41"/>
      <c r="C27" s="51"/>
      <c r="D27" s="52" t="s">
        <v>630</v>
      </c>
      <c r="E27" s="1"/>
      <c r="F27" s="1">
        <v>1</v>
      </c>
      <c r="G27" s="1"/>
      <c r="H27" s="1"/>
    </row>
    <row r="28" spans="1:8" x14ac:dyDescent="0.3">
      <c r="A28" s="54"/>
      <c r="B28" s="41"/>
      <c r="C28" s="51"/>
      <c r="D28" s="52" t="s">
        <v>631</v>
      </c>
      <c r="E28" s="1"/>
      <c r="F28" s="1">
        <v>1</v>
      </c>
      <c r="G28" s="1"/>
      <c r="H28" s="1"/>
    </row>
    <row r="29" spans="1:8" x14ac:dyDescent="0.3">
      <c r="A29" s="54"/>
      <c r="B29" s="41"/>
      <c r="C29" s="51" t="s">
        <v>632</v>
      </c>
      <c r="D29" s="52" t="s">
        <v>633</v>
      </c>
      <c r="E29" s="1"/>
      <c r="F29" s="1">
        <v>1</v>
      </c>
      <c r="G29" s="1"/>
      <c r="H29" s="1"/>
    </row>
    <row r="30" spans="1:8" x14ac:dyDescent="0.3">
      <c r="A30" s="54"/>
      <c r="B30" s="41"/>
      <c r="C30" s="51"/>
      <c r="D30" s="52" t="s">
        <v>634</v>
      </c>
      <c r="E30" s="1"/>
      <c r="F30" s="1">
        <v>1</v>
      </c>
      <c r="G30" s="1"/>
      <c r="H30" s="1"/>
    </row>
    <row r="31" spans="1:8" x14ac:dyDescent="0.3">
      <c r="A31" s="54"/>
      <c r="B31" s="41"/>
      <c r="C31" s="51"/>
      <c r="D31" s="52" t="s">
        <v>635</v>
      </c>
      <c r="E31" s="1"/>
      <c r="F31" s="1">
        <v>1</v>
      </c>
      <c r="G31" s="1"/>
      <c r="H31" s="1"/>
    </row>
    <row r="32" spans="1:8" x14ac:dyDescent="0.3">
      <c r="A32" s="54"/>
      <c r="B32" s="41"/>
      <c r="C32" s="51"/>
      <c r="D32" s="52" t="s">
        <v>636</v>
      </c>
      <c r="E32" s="1"/>
      <c r="F32" s="1">
        <v>1</v>
      </c>
      <c r="G32" s="1"/>
      <c r="H32" s="1"/>
    </row>
    <row r="33" spans="1:8" x14ac:dyDescent="0.3">
      <c r="A33" s="54"/>
      <c r="B33" s="41"/>
      <c r="C33" s="52" t="s">
        <v>637</v>
      </c>
      <c r="D33" s="52" t="s">
        <v>638</v>
      </c>
      <c r="E33" s="1"/>
      <c r="F33" s="1">
        <v>1</v>
      </c>
      <c r="G33" s="1"/>
      <c r="H33" s="1"/>
    </row>
    <row r="34" spans="1:8" x14ac:dyDescent="0.3">
      <c r="A34" s="54"/>
      <c r="B34" s="41"/>
      <c r="C34" s="51" t="s">
        <v>639</v>
      </c>
      <c r="D34" s="52" t="s">
        <v>640</v>
      </c>
      <c r="E34" s="1"/>
      <c r="F34" s="1">
        <v>1</v>
      </c>
      <c r="G34" s="1"/>
      <c r="H34" s="1"/>
    </row>
    <row r="35" spans="1:8" x14ac:dyDescent="0.3">
      <c r="A35" s="54"/>
      <c r="B35" s="41"/>
      <c r="C35" s="51"/>
      <c r="D35" s="52" t="s">
        <v>641</v>
      </c>
      <c r="E35" s="1"/>
      <c r="F35" s="1">
        <v>1</v>
      </c>
      <c r="G35" s="1"/>
      <c r="H35" s="1"/>
    </row>
    <row r="36" spans="1:8" x14ac:dyDescent="0.3">
      <c r="A36" s="54"/>
      <c r="B36" s="41"/>
      <c r="C36" s="52" t="s">
        <v>642</v>
      </c>
      <c r="D36" s="52" t="s">
        <v>643</v>
      </c>
      <c r="E36" s="1"/>
      <c r="F36" s="1">
        <v>1</v>
      </c>
      <c r="G36" s="1">
        <f>SUM(F20:F36)</f>
        <v>17</v>
      </c>
      <c r="H36" s="1"/>
    </row>
    <row r="37" spans="1:8" x14ac:dyDescent="0.3">
      <c r="A37" s="54"/>
      <c r="B37" s="49" t="s">
        <v>654</v>
      </c>
      <c r="C37" s="51" t="s">
        <v>622</v>
      </c>
      <c r="D37" s="52" t="s">
        <v>623</v>
      </c>
      <c r="E37" s="1"/>
      <c r="F37" s="1">
        <v>1</v>
      </c>
      <c r="G37" s="1"/>
      <c r="H37" s="1"/>
    </row>
    <row r="38" spans="1:8" x14ac:dyDescent="0.3">
      <c r="A38" s="54"/>
      <c r="B38" s="49"/>
      <c r="C38" s="51"/>
      <c r="D38" s="52" t="s">
        <v>622</v>
      </c>
      <c r="E38" s="1"/>
      <c r="F38" s="1">
        <v>1</v>
      </c>
      <c r="G38" s="1"/>
      <c r="H38" s="1"/>
    </row>
    <row r="39" spans="1:8" x14ac:dyDescent="0.3">
      <c r="A39" s="54"/>
      <c r="B39" s="49"/>
      <c r="C39" s="52" t="s">
        <v>646</v>
      </c>
      <c r="D39" s="52" t="s">
        <v>647</v>
      </c>
      <c r="E39" s="1"/>
      <c r="F39" s="1">
        <v>1</v>
      </c>
      <c r="G39" s="1"/>
      <c r="H39" s="1"/>
    </row>
    <row r="40" spans="1:8" x14ac:dyDescent="0.3">
      <c r="A40" s="54"/>
      <c r="B40" s="49"/>
      <c r="C40" s="53" t="s">
        <v>648</v>
      </c>
      <c r="D40" s="52" t="s">
        <v>649</v>
      </c>
      <c r="E40" s="1"/>
      <c r="F40" s="1">
        <v>1</v>
      </c>
      <c r="G40" s="11"/>
      <c r="H40" s="1"/>
    </row>
    <row r="41" spans="1:8" x14ac:dyDescent="0.3">
      <c r="A41" s="54"/>
      <c r="B41" s="49"/>
      <c r="C41" s="53"/>
      <c r="D41" s="52" t="s">
        <v>650</v>
      </c>
      <c r="E41" s="1"/>
      <c r="F41" s="1">
        <v>1</v>
      </c>
      <c r="G41" s="1"/>
      <c r="H41" s="1"/>
    </row>
    <row r="42" spans="1:8" x14ac:dyDescent="0.3">
      <c r="A42" s="54"/>
      <c r="B42" s="49"/>
      <c r="C42" s="53"/>
      <c r="D42" s="52" t="s">
        <v>651</v>
      </c>
      <c r="E42" s="1"/>
      <c r="F42" s="1">
        <v>1</v>
      </c>
      <c r="G42" s="1"/>
      <c r="H42" s="1"/>
    </row>
    <row r="43" spans="1:8" x14ac:dyDescent="0.3">
      <c r="A43" s="54"/>
      <c r="B43" s="49"/>
      <c r="C43" s="53"/>
      <c r="D43" s="52" t="s">
        <v>652</v>
      </c>
      <c r="E43" s="1"/>
      <c r="F43" s="1">
        <v>1</v>
      </c>
      <c r="G43" s="1"/>
      <c r="H43" s="1"/>
    </row>
    <row r="44" spans="1:8" x14ac:dyDescent="0.3">
      <c r="A44" s="54"/>
      <c r="B44" s="49"/>
      <c r="C44" s="53"/>
      <c r="D44" s="52" t="s">
        <v>655</v>
      </c>
      <c r="E44" s="1"/>
      <c r="F44" s="1">
        <v>1</v>
      </c>
      <c r="G44" s="1"/>
      <c r="H44" s="1"/>
    </row>
    <row r="45" spans="1:8" x14ac:dyDescent="0.3">
      <c r="A45" s="54"/>
      <c r="B45" s="49"/>
      <c r="C45" s="53"/>
      <c r="D45" s="52" t="s">
        <v>656</v>
      </c>
      <c r="E45" s="1"/>
      <c r="F45" s="1">
        <v>1</v>
      </c>
      <c r="G45" s="1">
        <f>SUM(F37:F45)</f>
        <v>9</v>
      </c>
      <c r="H45" s="1"/>
    </row>
    <row r="46" spans="1:8" x14ac:dyDescent="0.3">
      <c r="A46" s="54"/>
      <c r="B46" s="49" t="s">
        <v>105</v>
      </c>
      <c r="C46" s="51" t="s">
        <v>657</v>
      </c>
      <c r="D46" s="52" t="s">
        <v>658</v>
      </c>
      <c r="E46" s="1"/>
      <c r="F46" s="1">
        <v>1</v>
      </c>
      <c r="G46" s="1"/>
      <c r="H46" s="1"/>
    </row>
    <row r="47" spans="1:8" x14ac:dyDescent="0.3">
      <c r="A47" s="54"/>
      <c r="B47" s="49"/>
      <c r="C47" s="51"/>
      <c r="D47" s="52" t="s">
        <v>659</v>
      </c>
      <c r="E47" s="1"/>
      <c r="F47" s="1">
        <v>1</v>
      </c>
      <c r="G47" s="1"/>
      <c r="H47" s="1"/>
    </row>
    <row r="48" spans="1:8" x14ac:dyDescent="0.3">
      <c r="A48" s="54"/>
      <c r="B48" s="49"/>
      <c r="C48" s="51"/>
      <c r="D48" s="52" t="s">
        <v>660</v>
      </c>
      <c r="E48" s="1"/>
      <c r="F48" s="1">
        <v>1</v>
      </c>
      <c r="G48" s="1"/>
      <c r="H48" s="1"/>
    </row>
    <row r="49" spans="1:8" x14ac:dyDescent="0.3">
      <c r="A49" s="54"/>
      <c r="B49" s="49"/>
      <c r="C49" s="51"/>
      <c r="D49" s="52" t="s">
        <v>661</v>
      </c>
      <c r="E49" s="1"/>
      <c r="F49" s="1">
        <v>1</v>
      </c>
      <c r="G49" s="1"/>
      <c r="H49" s="1"/>
    </row>
    <row r="50" spans="1:8" x14ac:dyDescent="0.3">
      <c r="A50" s="54"/>
      <c r="B50" s="49"/>
      <c r="C50" s="51" t="s">
        <v>653</v>
      </c>
      <c r="D50" s="52" t="s">
        <v>633</v>
      </c>
      <c r="E50" s="1"/>
      <c r="F50" s="1">
        <v>1</v>
      </c>
      <c r="G50" s="1"/>
      <c r="H50" s="1"/>
    </row>
    <row r="51" spans="1:8" x14ac:dyDescent="0.3">
      <c r="A51" s="54"/>
      <c r="B51" s="49"/>
      <c r="C51" s="51"/>
      <c r="D51" s="52" t="s">
        <v>634</v>
      </c>
      <c r="E51" s="1"/>
      <c r="F51" s="1">
        <v>1</v>
      </c>
      <c r="G51" s="1"/>
      <c r="H51" s="1"/>
    </row>
    <row r="52" spans="1:8" x14ac:dyDescent="0.3">
      <c r="A52" s="54"/>
      <c r="B52" s="49"/>
      <c r="C52" s="51"/>
      <c r="D52" s="52" t="s">
        <v>635</v>
      </c>
      <c r="E52" s="1"/>
      <c r="F52" s="1">
        <v>1</v>
      </c>
      <c r="G52" s="1"/>
      <c r="H52" s="1"/>
    </row>
    <row r="53" spans="1:8" x14ac:dyDescent="0.3">
      <c r="A53" s="54"/>
      <c r="B53" s="49"/>
      <c r="C53" s="51"/>
      <c r="D53" s="52" t="s">
        <v>636</v>
      </c>
      <c r="E53" s="1"/>
      <c r="F53" s="1">
        <v>1</v>
      </c>
      <c r="G53" s="1"/>
      <c r="H53" s="1"/>
    </row>
    <row r="54" spans="1:8" x14ac:dyDescent="0.3">
      <c r="A54" s="54"/>
      <c r="B54" s="49"/>
      <c r="C54" s="51"/>
      <c r="D54" s="52" t="s">
        <v>662</v>
      </c>
      <c r="E54" s="1"/>
      <c r="F54" s="1">
        <v>1</v>
      </c>
      <c r="G54" s="1"/>
      <c r="H54" s="1"/>
    </row>
    <row r="55" spans="1:8" x14ac:dyDescent="0.3">
      <c r="A55" s="54"/>
      <c r="B55" s="49"/>
      <c r="C55" s="51"/>
      <c r="D55" s="52" t="s">
        <v>603</v>
      </c>
      <c r="E55" s="1"/>
      <c r="F55" s="1">
        <v>1</v>
      </c>
      <c r="G55" s="1"/>
      <c r="H55" s="1"/>
    </row>
    <row r="56" spans="1:8" x14ac:dyDescent="0.3">
      <c r="A56" s="54"/>
      <c r="B56" s="49"/>
      <c r="C56" s="52" t="s">
        <v>642</v>
      </c>
      <c r="D56" s="52" t="s">
        <v>642</v>
      </c>
      <c r="E56" s="1"/>
      <c r="F56" s="1">
        <v>1</v>
      </c>
      <c r="G56" s="1">
        <f>SUM(F46:F56)</f>
        <v>11</v>
      </c>
      <c r="H56" s="1"/>
    </row>
    <row r="57" spans="1:8" x14ac:dyDescent="0.3">
      <c r="A57" s="54"/>
      <c r="B57" s="49" t="s">
        <v>105</v>
      </c>
      <c r="C57" s="51" t="s">
        <v>622</v>
      </c>
      <c r="D57" s="52" t="s">
        <v>623</v>
      </c>
      <c r="E57" s="1"/>
      <c r="F57" s="1">
        <v>1</v>
      </c>
      <c r="G57" s="1"/>
      <c r="H57" s="1"/>
    </row>
    <row r="58" spans="1:8" x14ac:dyDescent="0.3">
      <c r="A58" s="54"/>
      <c r="B58" s="49"/>
      <c r="C58" s="51"/>
      <c r="D58" s="52" t="s">
        <v>622</v>
      </c>
      <c r="E58" s="1"/>
      <c r="F58" s="1">
        <v>1</v>
      </c>
      <c r="G58" s="1"/>
      <c r="H58" s="1"/>
    </row>
    <row r="59" spans="1:8" x14ac:dyDescent="0.3">
      <c r="A59" s="54"/>
      <c r="B59" s="49"/>
      <c r="C59" s="51" t="s">
        <v>664</v>
      </c>
      <c r="D59" s="52" t="s">
        <v>665</v>
      </c>
      <c r="E59" s="1"/>
      <c r="F59" s="1">
        <v>1</v>
      </c>
      <c r="G59" s="1"/>
      <c r="H59" s="1"/>
    </row>
    <row r="60" spans="1:8" x14ac:dyDescent="0.3">
      <c r="A60" s="54"/>
      <c r="B60" s="49"/>
      <c r="C60" s="51"/>
      <c r="D60" s="52" t="s">
        <v>666</v>
      </c>
      <c r="E60" s="1"/>
      <c r="F60" s="1">
        <v>1</v>
      </c>
      <c r="G60" s="1"/>
      <c r="H60" s="1"/>
    </row>
    <row r="61" spans="1:8" x14ac:dyDescent="0.3">
      <c r="A61" s="54"/>
      <c r="B61" s="49"/>
      <c r="C61" s="51" t="s">
        <v>663</v>
      </c>
      <c r="D61" s="52" t="s">
        <v>667</v>
      </c>
      <c r="E61" s="1"/>
      <c r="F61" s="1">
        <v>1</v>
      </c>
      <c r="G61" s="1"/>
      <c r="H61" s="1"/>
    </row>
    <row r="62" spans="1:8" x14ac:dyDescent="0.3">
      <c r="A62" s="54"/>
      <c r="B62" s="49"/>
      <c r="C62" s="51"/>
      <c r="D62" s="52" t="s">
        <v>668</v>
      </c>
      <c r="E62" s="1"/>
      <c r="F62" s="1">
        <v>1</v>
      </c>
      <c r="G62" s="1"/>
      <c r="H62" s="1"/>
    </row>
    <row r="63" spans="1:8" x14ac:dyDescent="0.3">
      <c r="A63" s="54"/>
      <c r="B63" s="49"/>
      <c r="C63" s="51"/>
      <c r="D63" s="52" t="s">
        <v>629</v>
      </c>
      <c r="E63" s="1"/>
      <c r="F63" s="1">
        <v>1</v>
      </c>
      <c r="G63" s="1"/>
      <c r="H63" s="1"/>
    </row>
    <row r="64" spans="1:8" x14ac:dyDescent="0.3">
      <c r="A64" s="54"/>
      <c r="B64" s="49"/>
      <c r="C64" s="51" t="s">
        <v>632</v>
      </c>
      <c r="D64" s="52" t="s">
        <v>633</v>
      </c>
      <c r="E64" s="1"/>
      <c r="F64" s="1">
        <v>1</v>
      </c>
      <c r="G64" s="1"/>
      <c r="H64" s="1"/>
    </row>
    <row r="65" spans="1:8" x14ac:dyDescent="0.3">
      <c r="A65" s="54"/>
      <c r="B65" s="49"/>
      <c r="C65" s="51"/>
      <c r="D65" s="52" t="s">
        <v>634</v>
      </c>
      <c r="E65" s="1"/>
      <c r="F65" s="1">
        <v>1</v>
      </c>
      <c r="G65" s="1"/>
      <c r="H65" s="1"/>
    </row>
    <row r="66" spans="1:8" x14ac:dyDescent="0.3">
      <c r="A66" s="54"/>
      <c r="B66" s="49"/>
      <c r="C66" s="51"/>
      <c r="D66" s="52" t="s">
        <v>635</v>
      </c>
      <c r="E66" s="1"/>
      <c r="F66" s="1">
        <v>1</v>
      </c>
      <c r="G66" s="1"/>
      <c r="H66" s="1"/>
    </row>
    <row r="67" spans="1:8" x14ac:dyDescent="0.3">
      <c r="A67" s="54"/>
      <c r="B67" s="49"/>
      <c r="C67" s="51"/>
      <c r="D67" s="52" t="s">
        <v>636</v>
      </c>
      <c r="E67" s="1"/>
      <c r="F67" s="1">
        <v>1</v>
      </c>
      <c r="G67" s="1"/>
      <c r="H67" s="1"/>
    </row>
    <row r="68" spans="1:8" x14ac:dyDescent="0.3">
      <c r="A68" s="54"/>
      <c r="B68" s="49"/>
      <c r="C68" s="52" t="s">
        <v>669</v>
      </c>
      <c r="D68" s="52" t="s">
        <v>670</v>
      </c>
      <c r="E68" s="1"/>
      <c r="F68" s="1">
        <v>1</v>
      </c>
      <c r="G68" s="1"/>
      <c r="H68" s="1"/>
    </row>
    <row r="69" spans="1:8" x14ac:dyDescent="0.3">
      <c r="A69" s="54"/>
      <c r="B69" s="49"/>
      <c r="C69" s="51" t="s">
        <v>671</v>
      </c>
      <c r="D69" s="52" t="s">
        <v>672</v>
      </c>
      <c r="E69" s="1"/>
      <c r="F69" s="1">
        <v>1</v>
      </c>
      <c r="G69" s="1"/>
      <c r="H69" s="1"/>
    </row>
    <row r="70" spans="1:8" x14ac:dyDescent="0.3">
      <c r="A70" s="54"/>
      <c r="B70" s="49"/>
      <c r="C70" s="51"/>
      <c r="D70" s="52" t="s">
        <v>673</v>
      </c>
      <c r="E70" s="1"/>
      <c r="F70" s="1">
        <v>1</v>
      </c>
      <c r="G70" s="1">
        <f>SUM(F57:F70)</f>
        <v>14</v>
      </c>
      <c r="H70" s="1"/>
    </row>
    <row r="71" spans="1:8" x14ac:dyDescent="0.3">
      <c r="A71" s="54"/>
      <c r="B71" s="49" t="s">
        <v>684</v>
      </c>
      <c r="C71" s="51" t="s">
        <v>622</v>
      </c>
      <c r="D71" s="52" t="s">
        <v>623</v>
      </c>
      <c r="E71" s="1"/>
      <c r="F71" s="1">
        <v>1</v>
      </c>
      <c r="G71" s="1"/>
      <c r="H71" s="1"/>
    </row>
    <row r="72" spans="1:8" x14ac:dyDescent="0.3">
      <c r="A72" s="54"/>
      <c r="B72" s="49"/>
      <c r="C72" s="51"/>
      <c r="D72" s="52" t="s">
        <v>622</v>
      </c>
      <c r="E72" s="1"/>
      <c r="F72" s="1">
        <v>1</v>
      </c>
      <c r="G72" s="1"/>
      <c r="H72" s="1"/>
    </row>
    <row r="73" spans="1:8" x14ac:dyDescent="0.3">
      <c r="A73" s="54"/>
      <c r="B73" s="49"/>
      <c r="C73" s="52" t="s">
        <v>674</v>
      </c>
      <c r="D73" s="52" t="s">
        <v>665</v>
      </c>
      <c r="E73" s="1"/>
      <c r="F73" s="1">
        <v>1</v>
      </c>
      <c r="G73" s="1"/>
      <c r="H73" s="1"/>
    </row>
    <row r="74" spans="1:8" x14ac:dyDescent="0.3">
      <c r="A74" s="54"/>
      <c r="B74" s="49"/>
      <c r="C74" s="53" t="s">
        <v>675</v>
      </c>
      <c r="D74" s="52" t="s">
        <v>667</v>
      </c>
      <c r="E74" s="1"/>
      <c r="F74" s="1">
        <v>1</v>
      </c>
      <c r="G74" s="1"/>
      <c r="H74" s="1"/>
    </row>
    <row r="75" spans="1:8" x14ac:dyDescent="0.3">
      <c r="A75" s="54"/>
      <c r="B75" s="49"/>
      <c r="C75" s="53"/>
      <c r="D75" s="52" t="s">
        <v>668</v>
      </c>
      <c r="E75" s="1"/>
      <c r="F75" s="1">
        <v>1</v>
      </c>
      <c r="G75" s="1"/>
      <c r="H75" s="1"/>
    </row>
    <row r="76" spans="1:8" x14ac:dyDescent="0.3">
      <c r="A76" s="54"/>
      <c r="B76" s="49"/>
      <c r="C76" s="53"/>
      <c r="D76" s="52" t="s">
        <v>629</v>
      </c>
      <c r="E76" s="1"/>
      <c r="F76" s="1">
        <v>1</v>
      </c>
      <c r="G76" s="1"/>
      <c r="H76" s="1"/>
    </row>
    <row r="77" spans="1:8" x14ac:dyDescent="0.3">
      <c r="A77" s="54"/>
      <c r="B77" s="49"/>
      <c r="C77" s="53"/>
      <c r="D77" s="52" t="s">
        <v>676</v>
      </c>
      <c r="E77" s="1"/>
      <c r="F77" s="1">
        <v>1</v>
      </c>
      <c r="G77" s="1"/>
      <c r="H77" s="1"/>
    </row>
    <row r="78" spans="1:8" x14ac:dyDescent="0.3">
      <c r="A78" s="54"/>
      <c r="B78" s="49"/>
      <c r="C78" s="53"/>
      <c r="D78" s="52" t="s">
        <v>677</v>
      </c>
      <c r="E78" s="1"/>
      <c r="F78" s="1">
        <v>1</v>
      </c>
      <c r="G78" s="1"/>
      <c r="H78" s="1"/>
    </row>
    <row r="79" spans="1:8" x14ac:dyDescent="0.3">
      <c r="A79" s="54"/>
      <c r="B79" s="49"/>
      <c r="C79" s="53"/>
      <c r="D79" s="21" t="s">
        <v>678</v>
      </c>
      <c r="E79" s="1"/>
      <c r="F79" s="1">
        <v>1</v>
      </c>
      <c r="G79" s="1"/>
      <c r="H79" s="1"/>
    </row>
    <row r="80" spans="1:8" x14ac:dyDescent="0.3">
      <c r="A80" s="54"/>
      <c r="B80" s="49"/>
      <c r="C80" s="51" t="s">
        <v>632</v>
      </c>
      <c r="D80" s="52" t="s">
        <v>633</v>
      </c>
      <c r="E80" s="1"/>
      <c r="F80" s="1">
        <v>1</v>
      </c>
      <c r="G80" s="1"/>
      <c r="H80" s="1"/>
    </row>
    <row r="81" spans="1:8" x14ac:dyDescent="0.3">
      <c r="A81" s="54"/>
      <c r="B81" s="49"/>
      <c r="C81" s="51"/>
      <c r="D81" s="52" t="s">
        <v>634</v>
      </c>
      <c r="E81" s="1"/>
      <c r="F81" s="1">
        <v>1</v>
      </c>
      <c r="G81" s="1"/>
      <c r="H81" s="1"/>
    </row>
    <row r="82" spans="1:8" x14ac:dyDescent="0.3">
      <c r="A82" s="54"/>
      <c r="B82" s="49"/>
      <c r="C82" s="51"/>
      <c r="D82" s="52" t="s">
        <v>635</v>
      </c>
      <c r="E82" s="1"/>
      <c r="F82" s="1">
        <v>1</v>
      </c>
      <c r="G82" s="1"/>
      <c r="H82" s="1"/>
    </row>
    <row r="83" spans="1:8" x14ac:dyDescent="0.3">
      <c r="A83" s="54"/>
      <c r="B83" s="49"/>
      <c r="C83" s="51"/>
      <c r="D83" s="52" t="s">
        <v>636</v>
      </c>
      <c r="E83" s="1"/>
      <c r="F83" s="1">
        <v>1</v>
      </c>
      <c r="G83" s="1"/>
      <c r="H83" s="1"/>
    </row>
    <row r="84" spans="1:8" x14ac:dyDescent="0.3">
      <c r="A84" s="54"/>
      <c r="B84" s="49"/>
      <c r="C84" s="51" t="s">
        <v>679</v>
      </c>
      <c r="D84" s="52" t="s">
        <v>680</v>
      </c>
      <c r="E84" s="1"/>
      <c r="F84" s="1">
        <v>1</v>
      </c>
      <c r="G84" s="1"/>
      <c r="H84" s="1"/>
    </row>
    <row r="85" spans="1:8" x14ac:dyDescent="0.3">
      <c r="A85" s="54"/>
      <c r="B85" s="49"/>
      <c r="C85" s="51"/>
      <c r="D85" s="52" t="s">
        <v>681</v>
      </c>
      <c r="E85" s="1"/>
      <c r="F85" s="1">
        <v>1</v>
      </c>
      <c r="G85" s="1"/>
      <c r="H85" s="1"/>
    </row>
    <row r="86" spans="1:8" x14ac:dyDescent="0.3">
      <c r="A86" s="54"/>
      <c r="B86" s="49"/>
      <c r="C86" s="51"/>
      <c r="D86" s="52" t="s">
        <v>682</v>
      </c>
      <c r="E86" s="1"/>
      <c r="F86" s="1">
        <v>1</v>
      </c>
      <c r="G86" s="1"/>
      <c r="H86" s="1"/>
    </row>
    <row r="87" spans="1:8" x14ac:dyDescent="0.3">
      <c r="A87" s="54"/>
      <c r="B87" s="49"/>
      <c r="C87" s="52" t="s">
        <v>639</v>
      </c>
      <c r="D87" s="52" t="s">
        <v>641</v>
      </c>
      <c r="E87" s="1"/>
      <c r="F87" s="1">
        <v>1</v>
      </c>
      <c r="G87" s="1"/>
      <c r="H87" s="1"/>
    </row>
    <row r="88" spans="1:8" x14ac:dyDescent="0.3">
      <c r="A88" s="54"/>
      <c r="B88" s="49"/>
      <c r="C88" s="52" t="s">
        <v>642</v>
      </c>
      <c r="D88" s="52" t="s">
        <v>683</v>
      </c>
      <c r="E88" s="1"/>
      <c r="F88" s="1">
        <v>1</v>
      </c>
      <c r="G88" s="1">
        <f>SUM(F71:F88)</f>
        <v>18</v>
      </c>
      <c r="H88" s="1"/>
    </row>
    <row r="89" spans="1:8" x14ac:dyDescent="0.3">
      <c r="A89" s="54"/>
      <c r="B89" s="49" t="s">
        <v>703</v>
      </c>
      <c r="C89" s="51" t="s">
        <v>622</v>
      </c>
      <c r="D89" s="52" t="s">
        <v>685</v>
      </c>
      <c r="E89" s="1"/>
      <c r="F89" s="1">
        <v>1</v>
      </c>
      <c r="G89" s="1"/>
      <c r="H89" s="1"/>
    </row>
    <row r="90" spans="1:8" x14ac:dyDescent="0.3">
      <c r="A90" s="54"/>
      <c r="B90" s="49"/>
      <c r="C90" s="51"/>
      <c r="D90" s="52" t="s">
        <v>622</v>
      </c>
      <c r="E90" s="1"/>
      <c r="F90" s="1">
        <v>1</v>
      </c>
      <c r="G90" s="1"/>
      <c r="H90" s="1"/>
    </row>
    <row r="91" spans="1:8" x14ac:dyDescent="0.3">
      <c r="A91" s="54"/>
      <c r="B91" s="49"/>
      <c r="C91" s="52" t="s">
        <v>686</v>
      </c>
      <c r="D91" s="52" t="s">
        <v>666</v>
      </c>
      <c r="E91" s="1"/>
      <c r="F91" s="1">
        <v>1</v>
      </c>
      <c r="G91" s="1"/>
      <c r="H91" s="1"/>
    </row>
    <row r="92" spans="1:8" x14ac:dyDescent="0.3">
      <c r="A92" s="54"/>
      <c r="B92" s="49"/>
      <c r="C92" s="51" t="s">
        <v>687</v>
      </c>
      <c r="D92" s="52" t="s">
        <v>688</v>
      </c>
      <c r="E92" s="1"/>
      <c r="F92" s="1">
        <v>1</v>
      </c>
      <c r="G92" s="1"/>
      <c r="H92" s="1"/>
    </row>
    <row r="93" spans="1:8" x14ac:dyDescent="0.3">
      <c r="A93" s="54"/>
      <c r="B93" s="49"/>
      <c r="C93" s="51"/>
      <c r="D93" s="52" t="s">
        <v>689</v>
      </c>
      <c r="E93" s="1"/>
      <c r="F93" s="1">
        <v>1</v>
      </c>
      <c r="G93" s="1"/>
      <c r="H93" s="1"/>
    </row>
    <row r="94" spans="1:8" x14ac:dyDescent="0.3">
      <c r="A94" s="54"/>
      <c r="B94" s="49"/>
      <c r="C94" s="51"/>
      <c r="D94" s="52" t="s">
        <v>638</v>
      </c>
      <c r="E94" s="1"/>
      <c r="F94" s="1">
        <v>1</v>
      </c>
      <c r="G94" s="1"/>
      <c r="H94" s="1"/>
    </row>
    <row r="95" spans="1:8" x14ac:dyDescent="0.3">
      <c r="A95" s="54"/>
      <c r="B95" s="49"/>
      <c r="C95" s="51"/>
      <c r="D95" s="52" t="s">
        <v>690</v>
      </c>
      <c r="E95" s="1"/>
      <c r="F95" s="1">
        <v>1</v>
      </c>
      <c r="G95" s="1"/>
      <c r="H95" s="1"/>
    </row>
    <row r="96" spans="1:8" x14ac:dyDescent="0.3">
      <c r="A96" s="54"/>
      <c r="B96" s="49"/>
      <c r="C96" s="51" t="s">
        <v>691</v>
      </c>
      <c r="D96" s="52" t="s">
        <v>672</v>
      </c>
      <c r="E96" s="1"/>
      <c r="F96" s="1">
        <v>1</v>
      </c>
      <c r="G96" s="1"/>
      <c r="H96" s="1"/>
    </row>
    <row r="97" spans="1:8" x14ac:dyDescent="0.3">
      <c r="A97" s="54"/>
      <c r="B97" s="49"/>
      <c r="C97" s="51"/>
      <c r="D97" s="52" t="s">
        <v>673</v>
      </c>
      <c r="E97" s="1"/>
      <c r="F97" s="1">
        <v>1</v>
      </c>
      <c r="G97" s="1"/>
      <c r="H97" s="1"/>
    </row>
    <row r="98" spans="1:8" x14ac:dyDescent="0.3">
      <c r="A98" s="54"/>
      <c r="B98" s="49"/>
      <c r="C98" s="51"/>
      <c r="D98" s="52" t="s">
        <v>692</v>
      </c>
      <c r="E98" s="1"/>
      <c r="F98" s="1">
        <v>1</v>
      </c>
      <c r="G98" s="1"/>
      <c r="H98" s="1"/>
    </row>
    <row r="99" spans="1:8" x14ac:dyDescent="0.3">
      <c r="A99" s="54"/>
      <c r="B99" s="49"/>
      <c r="C99" s="51"/>
      <c r="D99" s="52" t="s">
        <v>693</v>
      </c>
      <c r="E99" s="1"/>
      <c r="F99" s="1">
        <v>1</v>
      </c>
      <c r="G99" s="1"/>
      <c r="H99" s="1"/>
    </row>
    <row r="100" spans="1:8" x14ac:dyDescent="0.3">
      <c r="A100" s="54"/>
      <c r="B100" s="49"/>
      <c r="C100" s="51"/>
      <c r="D100" s="52" t="s">
        <v>694</v>
      </c>
      <c r="E100" s="1"/>
      <c r="F100" s="1">
        <v>1</v>
      </c>
      <c r="G100" s="11"/>
      <c r="H100" s="1"/>
    </row>
    <row r="101" spans="1:8" x14ac:dyDescent="0.3">
      <c r="A101" s="54"/>
      <c r="B101" s="49"/>
      <c r="C101" s="51" t="s">
        <v>620</v>
      </c>
      <c r="D101" s="52" t="s">
        <v>695</v>
      </c>
      <c r="E101" s="1"/>
      <c r="F101" s="1">
        <v>1</v>
      </c>
      <c r="G101" s="1"/>
      <c r="H101" s="1"/>
    </row>
    <row r="102" spans="1:8" x14ac:dyDescent="0.3">
      <c r="A102" s="54"/>
      <c r="B102" s="49"/>
      <c r="C102" s="51"/>
      <c r="D102" s="52" t="s">
        <v>696</v>
      </c>
      <c r="E102" s="1"/>
      <c r="F102" s="1">
        <v>1</v>
      </c>
      <c r="G102" s="1"/>
      <c r="H102" s="1"/>
    </row>
    <row r="103" spans="1:8" x14ac:dyDescent="0.3">
      <c r="A103" s="54"/>
      <c r="B103" s="49"/>
      <c r="C103" s="51" t="s">
        <v>697</v>
      </c>
      <c r="D103" s="52" t="s">
        <v>698</v>
      </c>
      <c r="E103" s="1"/>
      <c r="F103" s="1">
        <v>1</v>
      </c>
      <c r="G103" s="1"/>
      <c r="H103" s="1"/>
    </row>
    <row r="104" spans="1:8" x14ac:dyDescent="0.3">
      <c r="A104" s="54"/>
      <c r="B104" s="49"/>
      <c r="C104" s="51"/>
      <c r="D104" s="52" t="s">
        <v>699</v>
      </c>
      <c r="E104" s="1"/>
      <c r="F104" s="1">
        <v>1</v>
      </c>
      <c r="G104" s="1"/>
      <c r="H104" s="1"/>
    </row>
    <row r="105" spans="1:8" x14ac:dyDescent="0.3">
      <c r="A105" s="54"/>
      <c r="B105" s="49"/>
      <c r="C105" s="51" t="s">
        <v>700</v>
      </c>
      <c r="D105" s="52" t="s">
        <v>701</v>
      </c>
      <c r="E105" s="1"/>
      <c r="F105" s="1">
        <v>1</v>
      </c>
      <c r="G105" s="1"/>
      <c r="H105" s="1"/>
    </row>
    <row r="106" spans="1:8" x14ac:dyDescent="0.3">
      <c r="A106" s="54"/>
      <c r="B106" s="49"/>
      <c r="C106" s="51"/>
      <c r="D106" s="52" t="s">
        <v>702</v>
      </c>
      <c r="E106" s="1"/>
      <c r="F106" s="1">
        <v>1</v>
      </c>
      <c r="G106" s="1">
        <f>SUM(F89:F106)</f>
        <v>18</v>
      </c>
      <c r="H106" s="11">
        <f>SUM(G19,G36,G45,G56,G70,G88,G106)</f>
        <v>105</v>
      </c>
    </row>
    <row r="107" spans="1:8" x14ac:dyDescent="0.3">
      <c r="A107" s="54" t="s">
        <v>82</v>
      </c>
      <c r="B107" s="49" t="s">
        <v>718</v>
      </c>
      <c r="C107" s="51" t="s">
        <v>644</v>
      </c>
      <c r="D107" s="52" t="s">
        <v>704</v>
      </c>
      <c r="E107" s="1"/>
      <c r="F107" s="1">
        <v>1</v>
      </c>
      <c r="G107" s="1"/>
      <c r="H107" s="1"/>
    </row>
    <row r="108" spans="1:8" x14ac:dyDescent="0.3">
      <c r="A108" s="54"/>
      <c r="B108" s="49"/>
      <c r="C108" s="51"/>
      <c r="D108" s="52" t="s">
        <v>705</v>
      </c>
      <c r="E108" s="1"/>
      <c r="F108" s="1">
        <v>1</v>
      </c>
      <c r="G108" s="1"/>
      <c r="H108" s="1"/>
    </row>
    <row r="109" spans="1:8" x14ac:dyDescent="0.3">
      <c r="A109" s="54"/>
      <c r="B109" s="49"/>
      <c r="C109" s="51"/>
      <c r="D109" s="52" t="s">
        <v>706</v>
      </c>
      <c r="E109" s="1"/>
      <c r="F109" s="1">
        <v>1</v>
      </c>
      <c r="G109" s="1"/>
      <c r="H109" s="1"/>
    </row>
    <row r="110" spans="1:8" x14ac:dyDescent="0.3">
      <c r="A110" s="54"/>
      <c r="B110" s="49"/>
      <c r="C110" s="51"/>
      <c r="D110" s="52" t="s">
        <v>707</v>
      </c>
      <c r="E110" s="1"/>
      <c r="F110" s="1">
        <v>1</v>
      </c>
      <c r="G110" s="1"/>
      <c r="H110" s="1"/>
    </row>
    <row r="111" spans="1:8" x14ac:dyDescent="0.3">
      <c r="A111" s="54"/>
      <c r="B111" s="49"/>
      <c r="C111" s="51" t="s">
        <v>653</v>
      </c>
      <c r="D111" s="52" t="s">
        <v>708</v>
      </c>
      <c r="E111" s="1"/>
      <c r="F111" s="1">
        <v>1</v>
      </c>
      <c r="G111" s="1"/>
      <c r="H111" s="1"/>
    </row>
    <row r="112" spans="1:8" x14ac:dyDescent="0.3">
      <c r="A112" s="54"/>
      <c r="B112" s="49"/>
      <c r="C112" s="51"/>
      <c r="D112" s="52" t="s">
        <v>709</v>
      </c>
      <c r="E112" s="1"/>
      <c r="F112" s="1">
        <v>1</v>
      </c>
      <c r="G112" s="1"/>
      <c r="H112" s="1"/>
    </row>
    <row r="113" spans="1:8" x14ac:dyDescent="0.3">
      <c r="A113" s="54"/>
      <c r="B113" s="49"/>
      <c r="C113" s="51"/>
      <c r="D113" s="52" t="s">
        <v>710</v>
      </c>
      <c r="E113" s="1"/>
      <c r="F113" s="1">
        <v>1</v>
      </c>
      <c r="G113" s="1"/>
      <c r="H113" s="1"/>
    </row>
    <row r="114" spans="1:8" x14ac:dyDescent="0.3">
      <c r="A114" s="54"/>
      <c r="B114" s="49"/>
      <c r="C114" s="51"/>
      <c r="D114" s="52" t="s">
        <v>711</v>
      </c>
      <c r="E114" s="1"/>
      <c r="F114" s="1">
        <v>1</v>
      </c>
      <c r="G114" s="1"/>
      <c r="H114" s="1"/>
    </row>
    <row r="115" spans="1:8" x14ac:dyDescent="0.3">
      <c r="A115" s="54"/>
      <c r="B115" s="49"/>
      <c r="C115" s="51" t="s">
        <v>687</v>
      </c>
      <c r="D115" s="52" t="s">
        <v>707</v>
      </c>
      <c r="E115" s="1"/>
      <c r="F115" s="1">
        <v>1</v>
      </c>
      <c r="G115" s="1"/>
      <c r="H115" s="1"/>
    </row>
    <row r="116" spans="1:8" x14ac:dyDescent="0.3">
      <c r="A116" s="54"/>
      <c r="B116" s="49"/>
      <c r="C116" s="51"/>
      <c r="D116" s="52" t="s">
        <v>712</v>
      </c>
      <c r="E116" s="1"/>
      <c r="F116" s="1">
        <v>1</v>
      </c>
      <c r="G116" s="1"/>
      <c r="H116" s="1"/>
    </row>
    <row r="117" spans="1:8" x14ac:dyDescent="0.3">
      <c r="A117" s="54"/>
      <c r="B117" s="49"/>
      <c r="C117" s="51"/>
      <c r="D117" s="52" t="s">
        <v>713</v>
      </c>
      <c r="E117" s="1"/>
      <c r="F117" s="1">
        <v>1</v>
      </c>
      <c r="G117" s="1"/>
      <c r="H117" s="1"/>
    </row>
    <row r="118" spans="1:8" x14ac:dyDescent="0.3">
      <c r="A118" s="54"/>
      <c r="B118" s="49"/>
      <c r="C118" s="51" t="s">
        <v>663</v>
      </c>
      <c r="D118" s="52" t="s">
        <v>714</v>
      </c>
      <c r="E118" s="1"/>
      <c r="F118" s="1">
        <v>1</v>
      </c>
      <c r="G118" s="1"/>
      <c r="H118" s="1"/>
    </row>
    <row r="119" spans="1:8" x14ac:dyDescent="0.3">
      <c r="A119" s="54"/>
      <c r="B119" s="49"/>
      <c r="C119" s="51"/>
      <c r="D119" s="52" t="s">
        <v>715</v>
      </c>
      <c r="E119" s="1"/>
      <c r="F119" s="1">
        <v>1</v>
      </c>
      <c r="G119" s="1"/>
      <c r="H119" s="1"/>
    </row>
    <row r="120" spans="1:8" x14ac:dyDescent="0.3">
      <c r="A120" s="54"/>
      <c r="B120" s="49"/>
      <c r="C120" s="51"/>
      <c r="D120" s="52" t="s">
        <v>716</v>
      </c>
      <c r="E120" s="1"/>
      <c r="F120" s="1">
        <v>1</v>
      </c>
      <c r="G120" s="1"/>
      <c r="H120" s="1"/>
    </row>
    <row r="121" spans="1:8" x14ac:dyDescent="0.3">
      <c r="A121" s="54"/>
      <c r="B121" s="49"/>
      <c r="C121" s="51"/>
      <c r="D121" s="52" t="s">
        <v>717</v>
      </c>
      <c r="E121" s="1"/>
      <c r="F121" s="1">
        <v>1</v>
      </c>
      <c r="G121" s="1">
        <f>SUM(F107:F121)</f>
        <v>15</v>
      </c>
      <c r="H121" s="11">
        <f>SUM(G121)</f>
        <v>15</v>
      </c>
    </row>
    <row r="122" spans="1:8" x14ac:dyDescent="0.3">
      <c r="A122" s="57" t="s">
        <v>330</v>
      </c>
      <c r="B122" s="58"/>
      <c r="C122" s="58"/>
      <c r="D122" s="58"/>
      <c r="E122" s="59"/>
      <c r="F122" s="60">
        <f>SUM(F2:F121)</f>
        <v>120</v>
      </c>
      <c r="G122" s="60">
        <f>SUM(G121,G106,G88,G70,G56,G45,G36,G19)</f>
        <v>120</v>
      </c>
      <c r="H122" s="60">
        <f>SUM(H2:H121)</f>
        <v>120</v>
      </c>
    </row>
    <row r="125" spans="1:8" s="26" customFormat="1" x14ac:dyDescent="0.3">
      <c r="A125" s="28"/>
      <c r="E125"/>
      <c r="F125"/>
      <c r="G125"/>
      <c r="H125"/>
    </row>
  </sheetData>
  <mergeCells count="43">
    <mergeCell ref="A107:A121"/>
    <mergeCell ref="A2:A106"/>
    <mergeCell ref="B89:B106"/>
    <mergeCell ref="C107:C110"/>
    <mergeCell ref="C111:C114"/>
    <mergeCell ref="C115:C117"/>
    <mergeCell ref="C118:C121"/>
    <mergeCell ref="B107:B121"/>
    <mergeCell ref="C89:C90"/>
    <mergeCell ref="C92:C95"/>
    <mergeCell ref="C96:C100"/>
    <mergeCell ref="C101:C102"/>
    <mergeCell ref="C103:C104"/>
    <mergeCell ref="C105:C106"/>
    <mergeCell ref="C71:C72"/>
    <mergeCell ref="C74:C79"/>
    <mergeCell ref="C80:C83"/>
    <mergeCell ref="C84:C86"/>
    <mergeCell ref="B71:B88"/>
    <mergeCell ref="C57:C58"/>
    <mergeCell ref="C59:C60"/>
    <mergeCell ref="C61:C63"/>
    <mergeCell ref="C64:C67"/>
    <mergeCell ref="C69:C70"/>
    <mergeCell ref="B57:B70"/>
    <mergeCell ref="C40:C45"/>
    <mergeCell ref="B37:B45"/>
    <mergeCell ref="C46:C49"/>
    <mergeCell ref="C50:C55"/>
    <mergeCell ref="B46:B56"/>
    <mergeCell ref="C13:C14"/>
    <mergeCell ref="C15:C16"/>
    <mergeCell ref="C17:C18"/>
    <mergeCell ref="C20:C21"/>
    <mergeCell ref="C22:C23"/>
    <mergeCell ref="C25:C28"/>
    <mergeCell ref="C29:C32"/>
    <mergeCell ref="C34:C35"/>
    <mergeCell ref="C37:C38"/>
    <mergeCell ref="B2:B19"/>
    <mergeCell ref="C2:C9"/>
    <mergeCell ref="C10:C11"/>
    <mergeCell ref="B20:B36"/>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1530-1A38-43D6-968F-39F7A3A1C709}">
  <dimension ref="A1:H122"/>
  <sheetViews>
    <sheetView workbookViewId="0">
      <selection activeCell="D126" sqref="D126"/>
    </sheetView>
  </sheetViews>
  <sheetFormatPr defaultRowHeight="16.5" x14ac:dyDescent="0.3"/>
  <cols>
    <col min="2" max="2" width="27.25" customWidth="1"/>
    <col min="3" max="3" width="55.5" customWidth="1"/>
  </cols>
  <sheetData>
    <row r="1" spans="1:8" x14ac:dyDescent="0.3">
      <c r="A1" s="55" t="s">
        <v>295</v>
      </c>
      <c r="B1" s="55" t="s">
        <v>308</v>
      </c>
      <c r="C1" s="55" t="s">
        <v>297</v>
      </c>
    </row>
    <row r="2" spans="1:8" x14ac:dyDescent="0.3">
      <c r="A2" s="62" t="s">
        <v>306</v>
      </c>
      <c r="B2" s="1" t="s">
        <v>581</v>
      </c>
      <c r="C2" s="1"/>
      <c r="D2" s="1"/>
      <c r="E2" s="1"/>
      <c r="F2" s="1"/>
      <c r="G2" s="1"/>
      <c r="H2" s="1"/>
    </row>
    <row r="3" spans="1:8" x14ac:dyDescent="0.3">
      <c r="A3" s="62"/>
      <c r="B3" s="1" t="s">
        <v>582</v>
      </c>
      <c r="C3" s="1" t="s">
        <v>584</v>
      </c>
      <c r="D3" s="1"/>
      <c r="E3" s="1"/>
      <c r="F3" s="1"/>
      <c r="G3" s="1"/>
      <c r="H3" s="1"/>
    </row>
    <row r="4" spans="1:8" ht="49.5" x14ac:dyDescent="0.3">
      <c r="A4" s="62"/>
      <c r="B4" s="1" t="s">
        <v>583</v>
      </c>
      <c r="C4" s="2" t="s">
        <v>585</v>
      </c>
      <c r="D4" s="1"/>
      <c r="E4" s="1"/>
      <c r="F4" s="1"/>
      <c r="G4" s="1"/>
      <c r="H4" s="1"/>
    </row>
    <row r="5" spans="1:8" x14ac:dyDescent="0.3">
      <c r="A5" s="62"/>
      <c r="B5" s="1" t="s">
        <v>586</v>
      </c>
      <c r="C5" s="1" t="s">
        <v>587</v>
      </c>
      <c r="D5" s="1"/>
      <c r="E5" s="1"/>
      <c r="F5" s="1"/>
      <c r="G5" s="1"/>
      <c r="H5" s="1"/>
    </row>
    <row r="6" spans="1:8" x14ac:dyDescent="0.3">
      <c r="A6" s="62"/>
      <c r="B6" s="1"/>
      <c r="C6" s="1"/>
      <c r="D6" s="1"/>
      <c r="E6" s="1"/>
      <c r="F6" s="1"/>
      <c r="G6" s="1"/>
      <c r="H6" s="1"/>
    </row>
    <row r="7" spans="1:8" x14ac:dyDescent="0.3">
      <c r="A7" s="62"/>
      <c r="B7" s="1"/>
      <c r="C7" s="1"/>
      <c r="D7" s="1"/>
      <c r="E7" s="1"/>
      <c r="F7" s="1"/>
      <c r="G7" s="1"/>
      <c r="H7" s="1"/>
    </row>
    <row r="8" spans="1:8" x14ac:dyDescent="0.3">
      <c r="A8" s="62"/>
      <c r="B8" s="1"/>
      <c r="C8" s="1"/>
      <c r="D8" s="1"/>
      <c r="E8" s="1"/>
      <c r="F8" s="1"/>
      <c r="G8" s="1"/>
      <c r="H8" s="1"/>
    </row>
    <row r="9" spans="1:8" x14ac:dyDescent="0.3">
      <c r="A9" s="62"/>
      <c r="B9" s="1"/>
      <c r="C9" s="1"/>
      <c r="D9" s="1"/>
      <c r="E9" s="1"/>
      <c r="F9" s="1"/>
      <c r="G9" s="1"/>
      <c r="H9" s="1"/>
    </row>
    <row r="10" spans="1:8" x14ac:dyDescent="0.3">
      <c r="A10" s="62"/>
      <c r="B10" s="1"/>
      <c r="C10" s="1"/>
      <c r="D10" s="1"/>
      <c r="E10" s="1"/>
      <c r="F10" s="1"/>
      <c r="G10" s="1"/>
      <c r="H10" s="1"/>
    </row>
    <row r="11" spans="1:8" x14ac:dyDescent="0.3">
      <c r="A11" s="62"/>
      <c r="B11" s="1"/>
      <c r="C11" s="1"/>
      <c r="D11" s="1"/>
      <c r="E11" s="1"/>
      <c r="F11" s="1"/>
      <c r="G11" s="1"/>
      <c r="H11" s="1"/>
    </row>
    <row r="12" spans="1:8" x14ac:dyDescent="0.3">
      <c r="A12" s="62"/>
      <c r="B12" s="1"/>
      <c r="C12" s="1" t="s">
        <v>610</v>
      </c>
      <c r="D12" s="1" t="s">
        <v>14</v>
      </c>
      <c r="E12" s="1"/>
      <c r="F12" s="1"/>
      <c r="G12" s="1"/>
      <c r="H12" s="1"/>
    </row>
    <row r="13" spans="1:8" x14ac:dyDescent="0.3">
      <c r="A13" s="62"/>
      <c r="B13" s="1"/>
      <c r="C13" s="51" t="s">
        <v>611</v>
      </c>
      <c r="D13" s="52" t="s">
        <v>612</v>
      </c>
      <c r="E13" s="1"/>
      <c r="F13" s="1"/>
      <c r="G13" s="1"/>
      <c r="H13" s="1"/>
    </row>
    <row r="14" spans="1:8" x14ac:dyDescent="0.3">
      <c r="A14" s="62"/>
      <c r="B14" s="1"/>
      <c r="C14" s="51"/>
      <c r="D14" s="52" t="s">
        <v>613</v>
      </c>
      <c r="E14" s="1"/>
      <c r="F14" s="1"/>
      <c r="G14" s="1"/>
      <c r="H14" s="1"/>
    </row>
    <row r="15" spans="1:8" ht="24" x14ac:dyDescent="0.3">
      <c r="A15" s="62"/>
      <c r="B15" s="1"/>
      <c r="C15" s="51" t="s">
        <v>614</v>
      </c>
      <c r="D15" s="52" t="s">
        <v>615</v>
      </c>
      <c r="E15" s="1"/>
      <c r="F15" s="1"/>
      <c r="G15" s="1"/>
      <c r="H15" s="1"/>
    </row>
    <row r="16" spans="1:8" ht="24" x14ac:dyDescent="0.3">
      <c r="A16" s="62"/>
      <c r="B16" s="1"/>
      <c r="C16" s="51"/>
      <c r="D16" s="52" t="s">
        <v>616</v>
      </c>
      <c r="E16" s="1"/>
      <c r="F16" s="1"/>
      <c r="G16" s="1"/>
      <c r="H16" s="1"/>
    </row>
    <row r="17" spans="1:8" ht="24" x14ac:dyDescent="0.3">
      <c r="A17" s="62"/>
      <c r="B17" s="1"/>
      <c r="C17" s="51" t="s">
        <v>617</v>
      </c>
      <c r="D17" s="52" t="s">
        <v>618</v>
      </c>
      <c r="E17" s="1"/>
      <c r="F17" s="1"/>
      <c r="G17" s="1"/>
      <c r="H17" s="1"/>
    </row>
    <row r="18" spans="1:8" ht="24" x14ac:dyDescent="0.3">
      <c r="A18" s="62"/>
      <c r="B18" s="1"/>
      <c r="C18" s="51"/>
      <c r="D18" s="52" t="s">
        <v>619</v>
      </c>
      <c r="E18" s="1"/>
      <c r="F18" s="1"/>
      <c r="G18" s="1"/>
      <c r="H18" s="1"/>
    </row>
    <row r="19" spans="1:8" x14ac:dyDescent="0.3">
      <c r="A19" s="62"/>
      <c r="B19" s="1"/>
      <c r="C19" s="52" t="s">
        <v>620</v>
      </c>
      <c r="D19" s="52" t="s">
        <v>621</v>
      </c>
      <c r="E19" s="1"/>
      <c r="F19" s="1"/>
      <c r="G19" s="1">
        <f>SUM(F2:F19)</f>
        <v>0</v>
      </c>
      <c r="H19" s="1"/>
    </row>
    <row r="20" spans="1:8" x14ac:dyDescent="0.3">
      <c r="A20" s="62"/>
      <c r="B20" s="1" t="s">
        <v>645</v>
      </c>
      <c r="C20" s="51" t="s">
        <v>622</v>
      </c>
      <c r="D20" s="52" t="s">
        <v>623</v>
      </c>
      <c r="E20" s="1"/>
      <c r="F20" s="1"/>
      <c r="G20" s="1"/>
      <c r="H20" s="1"/>
    </row>
    <row r="21" spans="1:8" x14ac:dyDescent="0.3">
      <c r="A21" s="62"/>
      <c r="B21" s="1"/>
      <c r="C21" s="51"/>
      <c r="D21" s="52" t="s">
        <v>622</v>
      </c>
      <c r="E21" s="1"/>
      <c r="F21" s="1"/>
      <c r="G21" s="1"/>
      <c r="H21" s="1"/>
    </row>
    <row r="22" spans="1:8" x14ac:dyDescent="0.3">
      <c r="A22" s="62"/>
      <c r="B22" s="1"/>
      <c r="C22" s="51" t="s">
        <v>624</v>
      </c>
      <c r="D22" s="52" t="s">
        <v>625</v>
      </c>
      <c r="E22" s="1"/>
      <c r="F22" s="1"/>
      <c r="G22" s="1"/>
      <c r="H22" s="1"/>
    </row>
    <row r="23" spans="1:8" x14ac:dyDescent="0.3">
      <c r="A23" s="62"/>
      <c r="B23" s="1"/>
      <c r="C23" s="51"/>
      <c r="D23" s="52" t="s">
        <v>626</v>
      </c>
      <c r="E23" s="1"/>
      <c r="F23" s="1"/>
      <c r="G23" s="1"/>
      <c r="H23" s="1"/>
    </row>
    <row r="24" spans="1:8" x14ac:dyDescent="0.3">
      <c r="A24" s="62"/>
      <c r="B24" s="1"/>
      <c r="C24" s="52" t="s">
        <v>627</v>
      </c>
      <c r="D24" s="52" t="s">
        <v>627</v>
      </c>
      <c r="E24" s="1"/>
      <c r="F24" s="1"/>
      <c r="G24" s="1"/>
      <c r="H24" s="1"/>
    </row>
    <row r="25" spans="1:8" x14ac:dyDescent="0.3">
      <c r="A25" s="62"/>
      <c r="B25" s="1"/>
      <c r="C25" s="51" t="s">
        <v>628</v>
      </c>
      <c r="D25" s="52" t="s">
        <v>628</v>
      </c>
      <c r="E25" s="1"/>
      <c r="F25" s="1"/>
      <c r="G25" s="1"/>
      <c r="H25" s="1"/>
    </row>
    <row r="26" spans="1:8" x14ac:dyDescent="0.3">
      <c r="A26" s="62"/>
      <c r="B26" s="1"/>
      <c r="C26" s="51"/>
      <c r="D26" s="52" t="s">
        <v>629</v>
      </c>
      <c r="E26" s="1"/>
      <c r="F26" s="1"/>
      <c r="G26" s="1"/>
      <c r="H26" s="1"/>
    </row>
    <row r="27" spans="1:8" ht="24" x14ac:dyDescent="0.3">
      <c r="A27" s="62"/>
      <c r="B27" s="1"/>
      <c r="C27" s="51"/>
      <c r="D27" s="52" t="s">
        <v>630</v>
      </c>
      <c r="E27" s="1"/>
      <c r="F27" s="1"/>
      <c r="G27" s="1"/>
      <c r="H27" s="1"/>
    </row>
    <row r="28" spans="1:8" ht="24" x14ac:dyDescent="0.3">
      <c r="A28" s="62"/>
      <c r="B28" s="1"/>
      <c r="C28" s="51"/>
      <c r="D28" s="52" t="s">
        <v>631</v>
      </c>
      <c r="E28" s="1"/>
      <c r="F28" s="1"/>
      <c r="G28" s="1"/>
      <c r="H28" s="1"/>
    </row>
    <row r="29" spans="1:8" ht="24" x14ac:dyDescent="0.3">
      <c r="A29" s="62"/>
      <c r="B29" s="1"/>
      <c r="C29" s="51" t="s">
        <v>632</v>
      </c>
      <c r="D29" s="52" t="s">
        <v>633</v>
      </c>
      <c r="E29" s="1"/>
      <c r="F29" s="1"/>
      <c r="G29" s="1"/>
      <c r="H29" s="1"/>
    </row>
    <row r="30" spans="1:8" ht="24" x14ac:dyDescent="0.3">
      <c r="A30" s="62"/>
      <c r="B30" s="1"/>
      <c r="C30" s="51"/>
      <c r="D30" s="52" t="s">
        <v>634</v>
      </c>
      <c r="E30" s="1"/>
      <c r="F30" s="1"/>
      <c r="G30" s="1"/>
      <c r="H30" s="1"/>
    </row>
    <row r="31" spans="1:8" ht="24" x14ac:dyDescent="0.3">
      <c r="A31" s="62"/>
      <c r="B31" s="1"/>
      <c r="C31" s="51"/>
      <c r="D31" s="52" t="s">
        <v>635</v>
      </c>
      <c r="E31" s="1"/>
      <c r="F31" s="1"/>
      <c r="G31" s="1"/>
      <c r="H31" s="1"/>
    </row>
    <row r="32" spans="1:8" x14ac:dyDescent="0.3">
      <c r="A32" s="62"/>
      <c r="B32" s="1"/>
      <c r="C32" s="51"/>
      <c r="D32" s="52" t="s">
        <v>636</v>
      </c>
      <c r="E32" s="1"/>
      <c r="F32" s="1"/>
      <c r="G32" s="1"/>
      <c r="H32" s="1"/>
    </row>
    <row r="33" spans="1:8" ht="24" x14ac:dyDescent="0.3">
      <c r="A33" s="62"/>
      <c r="B33" s="1"/>
      <c r="C33" s="52" t="s">
        <v>637</v>
      </c>
      <c r="D33" s="52" t="s">
        <v>638</v>
      </c>
      <c r="E33" s="1"/>
      <c r="F33" s="1"/>
      <c r="G33" s="1"/>
      <c r="H33" s="1"/>
    </row>
    <row r="34" spans="1:8" x14ac:dyDescent="0.3">
      <c r="A34" s="62"/>
      <c r="B34" s="1"/>
      <c r="C34" s="51" t="s">
        <v>639</v>
      </c>
      <c r="D34" s="52" t="s">
        <v>640</v>
      </c>
      <c r="E34" s="1"/>
      <c r="F34" s="1"/>
      <c r="G34" s="1"/>
      <c r="H34" s="1"/>
    </row>
    <row r="35" spans="1:8" x14ac:dyDescent="0.3">
      <c r="A35" s="62"/>
      <c r="B35" s="1"/>
      <c r="C35" s="51"/>
      <c r="D35" s="52" t="s">
        <v>641</v>
      </c>
      <c r="E35" s="1"/>
      <c r="F35" s="1"/>
      <c r="G35" s="1"/>
      <c r="H35" s="1"/>
    </row>
    <row r="36" spans="1:8" x14ac:dyDescent="0.3">
      <c r="A36" s="62"/>
      <c r="B36" s="1"/>
      <c r="C36" s="52" t="s">
        <v>642</v>
      </c>
      <c r="D36" s="52" t="s">
        <v>643</v>
      </c>
      <c r="E36" s="1"/>
      <c r="F36" s="1"/>
      <c r="G36" s="1">
        <f>SUM(F20:F36)</f>
        <v>0</v>
      </c>
      <c r="H36" s="1"/>
    </row>
    <row r="37" spans="1:8" x14ac:dyDescent="0.3">
      <c r="A37" s="62"/>
      <c r="B37" s="49" t="s">
        <v>654</v>
      </c>
      <c r="C37" s="51" t="s">
        <v>622</v>
      </c>
      <c r="D37" s="52" t="s">
        <v>623</v>
      </c>
      <c r="E37" s="1"/>
      <c r="F37" s="1"/>
      <c r="G37" s="1"/>
      <c r="H37" s="1"/>
    </row>
    <row r="38" spans="1:8" x14ac:dyDescent="0.3">
      <c r="A38" s="62"/>
      <c r="B38" s="49"/>
      <c r="C38" s="51"/>
      <c r="D38" s="52" t="s">
        <v>622</v>
      </c>
      <c r="E38" s="1"/>
      <c r="F38" s="1"/>
      <c r="G38" s="1"/>
      <c r="H38" s="1"/>
    </row>
    <row r="39" spans="1:8" ht="24" x14ac:dyDescent="0.3">
      <c r="A39" s="62"/>
      <c r="B39" s="49"/>
      <c r="C39" s="52" t="s">
        <v>646</v>
      </c>
      <c r="D39" s="52" t="s">
        <v>647</v>
      </c>
      <c r="E39" s="1"/>
      <c r="F39" s="1"/>
      <c r="G39" s="1"/>
      <c r="H39" s="1"/>
    </row>
    <row r="40" spans="1:8" ht="24" x14ac:dyDescent="0.3">
      <c r="A40" s="62"/>
      <c r="B40" s="49"/>
      <c r="C40" s="53" t="s">
        <v>648</v>
      </c>
      <c r="D40" s="52" t="s">
        <v>649</v>
      </c>
      <c r="E40" s="1"/>
      <c r="F40" s="1"/>
      <c r="G40" s="1"/>
      <c r="H40" s="1"/>
    </row>
    <row r="41" spans="1:8" ht="24" x14ac:dyDescent="0.3">
      <c r="A41" s="62"/>
      <c r="B41" s="49"/>
      <c r="C41" s="53"/>
      <c r="D41" s="52" t="s">
        <v>650</v>
      </c>
      <c r="E41" s="1"/>
      <c r="F41" s="1"/>
      <c r="G41" s="1"/>
      <c r="H41" s="1"/>
    </row>
    <row r="42" spans="1:8" ht="24" x14ac:dyDescent="0.3">
      <c r="A42" s="62"/>
      <c r="B42" s="49"/>
      <c r="C42" s="53"/>
      <c r="D42" s="52" t="s">
        <v>651</v>
      </c>
      <c r="E42" s="1"/>
      <c r="F42" s="1"/>
      <c r="G42" s="1"/>
      <c r="H42" s="1"/>
    </row>
    <row r="43" spans="1:8" ht="36" x14ac:dyDescent="0.3">
      <c r="A43" s="62"/>
      <c r="B43" s="49"/>
      <c r="C43" s="53"/>
      <c r="D43" s="52" t="s">
        <v>652</v>
      </c>
      <c r="E43" s="1"/>
      <c r="F43" s="1"/>
      <c r="G43" s="1"/>
      <c r="H43" s="1"/>
    </row>
    <row r="44" spans="1:8" ht="24" x14ac:dyDescent="0.3">
      <c r="A44" s="62"/>
      <c r="B44" s="49"/>
      <c r="C44" s="53"/>
      <c r="D44" s="52" t="s">
        <v>655</v>
      </c>
      <c r="E44" s="1"/>
      <c r="F44" s="1"/>
      <c r="G44" s="1"/>
      <c r="H44" s="1"/>
    </row>
    <row r="45" spans="1:8" ht="24" x14ac:dyDescent="0.3">
      <c r="A45" s="62"/>
      <c r="B45" s="49"/>
      <c r="C45" s="53"/>
      <c r="D45" s="52" t="s">
        <v>656</v>
      </c>
      <c r="E45" s="1"/>
      <c r="F45" s="1"/>
      <c r="G45" s="1">
        <f>SUM(F37:F45)</f>
        <v>0</v>
      </c>
      <c r="H45" s="1"/>
    </row>
    <row r="46" spans="1:8" ht="24" x14ac:dyDescent="0.3">
      <c r="A46" s="62"/>
      <c r="B46" s="49" t="s">
        <v>105</v>
      </c>
      <c r="C46" s="51" t="s">
        <v>657</v>
      </c>
      <c r="D46" s="52" t="s">
        <v>658</v>
      </c>
      <c r="E46" s="1"/>
      <c r="F46" s="1"/>
      <c r="G46" s="1"/>
      <c r="H46" s="1"/>
    </row>
    <row r="47" spans="1:8" ht="24" x14ac:dyDescent="0.3">
      <c r="A47" s="62"/>
      <c r="B47" s="49"/>
      <c r="C47" s="51"/>
      <c r="D47" s="52" t="s">
        <v>659</v>
      </c>
      <c r="E47" s="1"/>
      <c r="F47" s="1"/>
      <c r="G47" s="1"/>
      <c r="H47" s="1"/>
    </row>
    <row r="48" spans="1:8" ht="24" x14ac:dyDescent="0.3">
      <c r="A48" s="62"/>
      <c r="B48" s="49"/>
      <c r="C48" s="51"/>
      <c r="D48" s="52" t="s">
        <v>660</v>
      </c>
      <c r="E48" s="1"/>
      <c r="F48" s="1"/>
      <c r="G48" s="1"/>
      <c r="H48" s="1"/>
    </row>
    <row r="49" spans="1:8" ht="36" x14ac:dyDescent="0.3">
      <c r="A49" s="62"/>
      <c r="B49" s="49"/>
      <c r="C49" s="51"/>
      <c r="D49" s="52" t="s">
        <v>661</v>
      </c>
      <c r="E49" s="1"/>
      <c r="F49" s="1"/>
      <c r="G49" s="1"/>
      <c r="H49" s="1"/>
    </row>
    <row r="50" spans="1:8" ht="24" x14ac:dyDescent="0.3">
      <c r="A50" s="62"/>
      <c r="B50" s="49"/>
      <c r="C50" s="51" t="s">
        <v>653</v>
      </c>
      <c r="D50" s="52" t="s">
        <v>633</v>
      </c>
      <c r="E50" s="1"/>
      <c r="F50" s="1"/>
      <c r="G50" s="1"/>
      <c r="H50" s="1"/>
    </row>
    <row r="51" spans="1:8" ht="24" x14ac:dyDescent="0.3">
      <c r="A51" s="62"/>
      <c r="B51" s="49"/>
      <c r="C51" s="51"/>
      <c r="D51" s="52" t="s">
        <v>634</v>
      </c>
      <c r="E51" s="1"/>
      <c r="F51" s="1"/>
      <c r="G51" s="1"/>
      <c r="H51" s="1"/>
    </row>
    <row r="52" spans="1:8" ht="24" x14ac:dyDescent="0.3">
      <c r="A52" s="62"/>
      <c r="B52" s="49"/>
      <c r="C52" s="51"/>
      <c r="D52" s="52" t="s">
        <v>635</v>
      </c>
      <c r="E52" s="1"/>
      <c r="F52" s="1"/>
      <c r="G52" s="1"/>
      <c r="H52" s="1"/>
    </row>
    <row r="53" spans="1:8" x14ac:dyDescent="0.3">
      <c r="A53" s="62"/>
      <c r="B53" s="49"/>
      <c r="C53" s="51"/>
      <c r="D53" s="52" t="s">
        <v>636</v>
      </c>
      <c r="E53" s="1"/>
      <c r="F53" s="1"/>
      <c r="G53" s="1"/>
      <c r="H53" s="1"/>
    </row>
    <row r="54" spans="1:8" x14ac:dyDescent="0.3">
      <c r="A54" s="62"/>
      <c r="B54" s="49"/>
      <c r="C54" s="51"/>
      <c r="D54" s="52" t="s">
        <v>662</v>
      </c>
      <c r="E54" s="1"/>
      <c r="F54" s="1"/>
      <c r="G54" s="1"/>
      <c r="H54" s="1"/>
    </row>
    <row r="55" spans="1:8" ht="24" x14ac:dyDescent="0.3">
      <c r="A55" s="62"/>
      <c r="B55" s="49"/>
      <c r="C55" s="51"/>
      <c r="D55" s="52" t="s">
        <v>603</v>
      </c>
      <c r="E55" s="1"/>
      <c r="F55" s="1"/>
      <c r="G55" s="1"/>
      <c r="H55" s="1"/>
    </row>
    <row r="56" spans="1:8" x14ac:dyDescent="0.3">
      <c r="A56" s="62"/>
      <c r="B56" s="49"/>
      <c r="C56" s="52" t="s">
        <v>642</v>
      </c>
      <c r="D56" s="52" t="s">
        <v>642</v>
      </c>
      <c r="E56" s="1"/>
      <c r="F56" s="1"/>
      <c r="G56" s="1">
        <f>SUM(F46:F56)</f>
        <v>0</v>
      </c>
      <c r="H56" s="1"/>
    </row>
    <row r="57" spans="1:8" x14ac:dyDescent="0.3">
      <c r="A57" s="62"/>
      <c r="B57" s="49" t="s">
        <v>105</v>
      </c>
      <c r="C57" s="51" t="s">
        <v>622</v>
      </c>
      <c r="D57" s="52" t="s">
        <v>623</v>
      </c>
      <c r="E57" s="1"/>
      <c r="F57" s="1"/>
      <c r="G57" s="1"/>
      <c r="H57" s="1"/>
    </row>
    <row r="58" spans="1:8" x14ac:dyDescent="0.3">
      <c r="A58" s="62"/>
      <c r="B58" s="49"/>
      <c r="C58" s="51"/>
      <c r="D58" s="52" t="s">
        <v>622</v>
      </c>
      <c r="E58" s="1"/>
      <c r="F58" s="1"/>
      <c r="G58" s="1"/>
      <c r="H58" s="1"/>
    </row>
    <row r="59" spans="1:8" x14ac:dyDescent="0.3">
      <c r="A59" s="62"/>
      <c r="B59" s="49"/>
      <c r="C59" s="51" t="s">
        <v>664</v>
      </c>
      <c r="D59" s="52" t="s">
        <v>665</v>
      </c>
      <c r="E59" s="1"/>
      <c r="F59" s="1"/>
      <c r="G59" s="1"/>
      <c r="H59" s="1"/>
    </row>
    <row r="60" spans="1:8" x14ac:dyDescent="0.3">
      <c r="A60" s="62"/>
      <c r="B60" s="49"/>
      <c r="C60" s="51"/>
      <c r="D60" s="52" t="s">
        <v>666</v>
      </c>
      <c r="E60" s="1"/>
      <c r="F60" s="1"/>
      <c r="G60" s="1"/>
      <c r="H60" s="1"/>
    </row>
    <row r="61" spans="1:8" x14ac:dyDescent="0.3">
      <c r="A61" s="62"/>
      <c r="B61" s="49"/>
      <c r="C61" s="51" t="s">
        <v>663</v>
      </c>
      <c r="D61" s="52" t="s">
        <v>667</v>
      </c>
      <c r="E61" s="1"/>
      <c r="F61" s="1"/>
      <c r="G61" s="1"/>
      <c r="H61" s="1"/>
    </row>
    <row r="62" spans="1:8" x14ac:dyDescent="0.3">
      <c r="A62" s="62"/>
      <c r="B62" s="49"/>
      <c r="C62" s="51"/>
      <c r="D62" s="52" t="s">
        <v>668</v>
      </c>
      <c r="E62" s="1"/>
      <c r="F62" s="1"/>
      <c r="G62" s="1"/>
      <c r="H62" s="1"/>
    </row>
    <row r="63" spans="1:8" x14ac:dyDescent="0.3">
      <c r="A63" s="62"/>
      <c r="B63" s="49"/>
      <c r="C63" s="51"/>
      <c r="D63" s="52" t="s">
        <v>629</v>
      </c>
      <c r="E63" s="1"/>
      <c r="F63" s="1"/>
      <c r="G63" s="1"/>
      <c r="H63" s="1"/>
    </row>
    <row r="64" spans="1:8" ht="24" x14ac:dyDescent="0.3">
      <c r="A64" s="62"/>
      <c r="B64" s="49"/>
      <c r="C64" s="51" t="s">
        <v>632</v>
      </c>
      <c r="D64" s="52" t="s">
        <v>633</v>
      </c>
      <c r="E64" s="1"/>
      <c r="F64" s="1"/>
      <c r="G64" s="1"/>
      <c r="H64" s="1"/>
    </row>
    <row r="65" spans="1:8" ht="24" x14ac:dyDescent="0.3">
      <c r="A65" s="62"/>
      <c r="B65" s="49"/>
      <c r="C65" s="51"/>
      <c r="D65" s="52" t="s">
        <v>634</v>
      </c>
      <c r="E65" s="1"/>
      <c r="F65" s="1"/>
      <c r="G65" s="1"/>
      <c r="H65" s="1"/>
    </row>
    <row r="66" spans="1:8" ht="24" x14ac:dyDescent="0.3">
      <c r="A66" s="62"/>
      <c r="B66" s="49"/>
      <c r="C66" s="51"/>
      <c r="D66" s="52" t="s">
        <v>635</v>
      </c>
      <c r="E66" s="1"/>
      <c r="F66" s="1"/>
      <c r="G66" s="1"/>
      <c r="H66" s="1"/>
    </row>
    <row r="67" spans="1:8" x14ac:dyDescent="0.3">
      <c r="A67" s="62"/>
      <c r="B67" s="49"/>
      <c r="C67" s="51"/>
      <c r="D67" s="52" t="s">
        <v>636</v>
      </c>
      <c r="E67" s="1"/>
      <c r="F67" s="1"/>
      <c r="G67" s="1"/>
      <c r="H67" s="1"/>
    </row>
    <row r="68" spans="1:8" ht="24" x14ac:dyDescent="0.3">
      <c r="A68" s="62"/>
      <c r="B68" s="49"/>
      <c r="C68" s="52" t="s">
        <v>669</v>
      </c>
      <c r="D68" s="52" t="s">
        <v>670</v>
      </c>
      <c r="E68" s="1"/>
      <c r="F68" s="1"/>
      <c r="G68" s="1"/>
      <c r="H68" s="1"/>
    </row>
    <row r="69" spans="1:8" x14ac:dyDescent="0.3">
      <c r="A69" s="62"/>
      <c r="B69" s="49"/>
      <c r="C69" s="51" t="s">
        <v>671</v>
      </c>
      <c r="D69" s="52" t="s">
        <v>672</v>
      </c>
      <c r="E69" s="1"/>
      <c r="F69" s="1"/>
      <c r="G69" s="1"/>
      <c r="H69" s="1"/>
    </row>
    <row r="70" spans="1:8" x14ac:dyDescent="0.3">
      <c r="A70" s="62"/>
      <c r="B70" s="49"/>
      <c r="C70" s="51"/>
      <c r="D70" s="52" t="s">
        <v>673</v>
      </c>
      <c r="E70" s="1"/>
      <c r="F70" s="1"/>
      <c r="G70" s="1">
        <f>SUM(F57:F70)</f>
        <v>0</v>
      </c>
      <c r="H70" s="1"/>
    </row>
    <row r="71" spans="1:8" x14ac:dyDescent="0.3">
      <c r="A71" s="62"/>
      <c r="B71" s="49" t="s">
        <v>684</v>
      </c>
      <c r="C71" s="51" t="s">
        <v>622</v>
      </c>
      <c r="D71" s="52" t="s">
        <v>623</v>
      </c>
      <c r="E71" s="1"/>
      <c r="F71" s="1"/>
      <c r="G71" s="1"/>
      <c r="H71" s="1"/>
    </row>
    <row r="72" spans="1:8" x14ac:dyDescent="0.3">
      <c r="A72" s="62"/>
      <c r="B72" s="49"/>
      <c r="C72" s="51"/>
      <c r="D72" s="52" t="s">
        <v>622</v>
      </c>
      <c r="E72" s="1"/>
      <c r="F72" s="1"/>
      <c r="G72" s="1"/>
      <c r="H72" s="1"/>
    </row>
    <row r="73" spans="1:8" x14ac:dyDescent="0.3">
      <c r="A73" s="62"/>
      <c r="B73" s="49"/>
      <c r="C73" s="52" t="s">
        <v>674</v>
      </c>
      <c r="D73" s="52" t="s">
        <v>665</v>
      </c>
      <c r="E73" s="1"/>
      <c r="F73" s="1"/>
      <c r="G73" s="1"/>
      <c r="H73" s="1"/>
    </row>
    <row r="74" spans="1:8" x14ac:dyDescent="0.3">
      <c r="A74" s="62"/>
      <c r="B74" s="49"/>
      <c r="C74" s="53" t="s">
        <v>675</v>
      </c>
      <c r="D74" s="52" t="s">
        <v>667</v>
      </c>
      <c r="E74" s="1"/>
      <c r="F74" s="1"/>
      <c r="G74" s="1"/>
      <c r="H74" s="1"/>
    </row>
    <row r="75" spans="1:8" x14ac:dyDescent="0.3">
      <c r="A75" s="62"/>
      <c r="B75" s="49"/>
      <c r="C75" s="53"/>
      <c r="D75" s="52" t="s">
        <v>668</v>
      </c>
      <c r="E75" s="1"/>
      <c r="F75" s="1"/>
      <c r="G75" s="1"/>
      <c r="H75" s="1"/>
    </row>
    <row r="76" spans="1:8" x14ac:dyDescent="0.3">
      <c r="A76" s="62"/>
      <c r="B76" s="49"/>
      <c r="C76" s="53"/>
      <c r="D76" s="52" t="s">
        <v>629</v>
      </c>
      <c r="E76" s="1"/>
      <c r="F76" s="1"/>
      <c r="G76" s="1"/>
      <c r="H76" s="1"/>
    </row>
    <row r="77" spans="1:8" ht="24" x14ac:dyDescent="0.3">
      <c r="A77" s="62"/>
      <c r="B77" s="49"/>
      <c r="C77" s="53"/>
      <c r="D77" s="52" t="s">
        <v>676</v>
      </c>
      <c r="E77" s="1"/>
      <c r="F77" s="1"/>
      <c r="G77" s="1"/>
      <c r="H77" s="1"/>
    </row>
    <row r="78" spans="1:8" ht="24" x14ac:dyDescent="0.3">
      <c r="A78" s="62"/>
      <c r="B78" s="49"/>
      <c r="C78" s="53"/>
      <c r="D78" s="52" t="s">
        <v>677</v>
      </c>
      <c r="E78" s="1"/>
      <c r="F78" s="1"/>
      <c r="G78" s="1"/>
      <c r="H78" s="1"/>
    </row>
    <row r="79" spans="1:8" x14ac:dyDescent="0.3">
      <c r="A79" s="62"/>
      <c r="B79" s="49"/>
      <c r="C79" s="53"/>
      <c r="D79" s="1" t="s">
        <v>678</v>
      </c>
      <c r="E79" s="1"/>
      <c r="F79" s="1"/>
      <c r="G79" s="1"/>
      <c r="H79" s="1"/>
    </row>
    <row r="80" spans="1:8" ht="24" x14ac:dyDescent="0.3">
      <c r="A80" s="62"/>
      <c r="B80" s="49"/>
      <c r="C80" s="51" t="s">
        <v>632</v>
      </c>
      <c r="D80" s="52" t="s">
        <v>633</v>
      </c>
      <c r="E80" s="1"/>
      <c r="F80" s="1"/>
      <c r="G80" s="1"/>
      <c r="H80" s="1"/>
    </row>
    <row r="81" spans="1:8" ht="24" x14ac:dyDescent="0.3">
      <c r="A81" s="62"/>
      <c r="B81" s="49"/>
      <c r="C81" s="51"/>
      <c r="D81" s="52" t="s">
        <v>634</v>
      </c>
      <c r="E81" s="1"/>
      <c r="F81" s="1"/>
      <c r="G81" s="1"/>
      <c r="H81" s="1"/>
    </row>
    <row r="82" spans="1:8" ht="24" x14ac:dyDescent="0.3">
      <c r="A82" s="62"/>
      <c r="B82" s="49"/>
      <c r="C82" s="51"/>
      <c r="D82" s="52" t="s">
        <v>635</v>
      </c>
      <c r="E82" s="1"/>
      <c r="F82" s="1"/>
      <c r="G82" s="1"/>
      <c r="H82" s="1"/>
    </row>
    <row r="83" spans="1:8" x14ac:dyDescent="0.3">
      <c r="A83" s="62"/>
      <c r="B83" s="49"/>
      <c r="C83" s="51"/>
      <c r="D83" s="52" t="s">
        <v>636</v>
      </c>
      <c r="E83" s="1"/>
      <c r="F83" s="1"/>
      <c r="G83" s="1"/>
      <c r="H83" s="1"/>
    </row>
    <row r="84" spans="1:8" ht="24" x14ac:dyDescent="0.3">
      <c r="A84" s="62"/>
      <c r="B84" s="49"/>
      <c r="C84" s="51" t="s">
        <v>679</v>
      </c>
      <c r="D84" s="52" t="s">
        <v>680</v>
      </c>
      <c r="E84" s="1"/>
      <c r="F84" s="1"/>
      <c r="G84" s="1"/>
      <c r="H84" s="1"/>
    </row>
    <row r="85" spans="1:8" ht="24" x14ac:dyDescent="0.3">
      <c r="A85" s="62"/>
      <c r="B85" s="49"/>
      <c r="C85" s="51"/>
      <c r="D85" s="52" t="s">
        <v>681</v>
      </c>
      <c r="E85" s="1"/>
      <c r="F85" s="1"/>
      <c r="G85" s="1"/>
      <c r="H85" s="1"/>
    </row>
    <row r="86" spans="1:8" ht="24" x14ac:dyDescent="0.3">
      <c r="A86" s="62"/>
      <c r="B86" s="49"/>
      <c r="C86" s="51"/>
      <c r="D86" s="52" t="s">
        <v>682</v>
      </c>
      <c r="E86" s="1"/>
      <c r="F86" s="1"/>
      <c r="G86" s="1"/>
      <c r="H86" s="1"/>
    </row>
    <row r="87" spans="1:8" x14ac:dyDescent="0.3">
      <c r="A87" s="62"/>
      <c r="B87" s="49"/>
      <c r="C87" s="52" t="s">
        <v>639</v>
      </c>
      <c r="D87" s="52" t="s">
        <v>641</v>
      </c>
      <c r="E87" s="1"/>
      <c r="F87" s="1"/>
      <c r="G87" s="1"/>
      <c r="H87" s="1"/>
    </row>
    <row r="88" spans="1:8" x14ac:dyDescent="0.3">
      <c r="A88" s="62"/>
      <c r="B88" s="49"/>
      <c r="C88" s="52" t="s">
        <v>642</v>
      </c>
      <c r="D88" s="52" t="s">
        <v>683</v>
      </c>
      <c r="E88" s="1"/>
      <c r="F88" s="1"/>
      <c r="G88" s="1">
        <f>SUM(F71:F88)</f>
        <v>0</v>
      </c>
      <c r="H88" s="1"/>
    </row>
    <row r="89" spans="1:8" x14ac:dyDescent="0.3">
      <c r="A89" s="62"/>
      <c r="B89" s="49" t="s">
        <v>703</v>
      </c>
      <c r="C89" s="51" t="s">
        <v>622</v>
      </c>
      <c r="D89" s="52" t="s">
        <v>685</v>
      </c>
      <c r="E89" s="1"/>
      <c r="F89" s="1"/>
      <c r="G89" s="1"/>
      <c r="H89" s="1"/>
    </row>
    <row r="90" spans="1:8" x14ac:dyDescent="0.3">
      <c r="A90" s="62"/>
      <c r="B90" s="49"/>
      <c r="C90" s="51"/>
      <c r="D90" s="52" t="s">
        <v>622</v>
      </c>
      <c r="E90" s="1"/>
      <c r="F90" s="1"/>
      <c r="G90" s="1"/>
      <c r="H90" s="1"/>
    </row>
    <row r="91" spans="1:8" x14ac:dyDescent="0.3">
      <c r="A91" s="62"/>
      <c r="B91" s="49"/>
      <c r="C91" s="52" t="s">
        <v>686</v>
      </c>
      <c r="D91" s="52" t="s">
        <v>666</v>
      </c>
      <c r="E91" s="1"/>
      <c r="F91" s="1"/>
      <c r="G91" s="1"/>
      <c r="H91" s="1"/>
    </row>
    <row r="92" spans="1:8" ht="24" x14ac:dyDescent="0.3">
      <c r="A92" s="62"/>
      <c r="B92" s="49"/>
      <c r="C92" s="51" t="s">
        <v>687</v>
      </c>
      <c r="D92" s="52" t="s">
        <v>688</v>
      </c>
      <c r="E92" s="1"/>
      <c r="F92" s="1"/>
      <c r="G92" s="1"/>
      <c r="H92" s="1"/>
    </row>
    <row r="93" spans="1:8" ht="24" x14ac:dyDescent="0.3">
      <c r="A93" s="62"/>
      <c r="B93" s="49"/>
      <c r="C93" s="51"/>
      <c r="D93" s="52" t="s">
        <v>689</v>
      </c>
      <c r="E93" s="1"/>
      <c r="F93" s="1"/>
      <c r="G93" s="1"/>
      <c r="H93" s="1"/>
    </row>
    <row r="94" spans="1:8" ht="24" x14ac:dyDescent="0.3">
      <c r="A94" s="62"/>
      <c r="B94" s="49"/>
      <c r="C94" s="51"/>
      <c r="D94" s="52" t="s">
        <v>638</v>
      </c>
      <c r="E94" s="1"/>
      <c r="F94" s="1"/>
      <c r="G94" s="1"/>
      <c r="H94" s="1"/>
    </row>
    <row r="95" spans="1:8" ht="24" x14ac:dyDescent="0.3">
      <c r="A95" s="62"/>
      <c r="B95" s="49"/>
      <c r="C95" s="51"/>
      <c r="D95" s="52" t="s">
        <v>690</v>
      </c>
      <c r="E95" s="1"/>
      <c r="F95" s="1"/>
      <c r="G95" s="1"/>
      <c r="H95" s="1"/>
    </row>
    <row r="96" spans="1:8" x14ac:dyDescent="0.3">
      <c r="A96" s="62"/>
      <c r="B96" s="49"/>
      <c r="C96" s="51" t="s">
        <v>691</v>
      </c>
      <c r="D96" s="52" t="s">
        <v>672</v>
      </c>
      <c r="E96" s="1"/>
      <c r="F96" s="1"/>
      <c r="G96" s="1"/>
      <c r="H96" s="1"/>
    </row>
    <row r="97" spans="1:8" x14ac:dyDescent="0.3">
      <c r="A97" s="62"/>
      <c r="B97" s="49"/>
      <c r="C97" s="51"/>
      <c r="D97" s="52" t="s">
        <v>673</v>
      </c>
      <c r="E97" s="1"/>
      <c r="F97" s="1"/>
      <c r="G97" s="1"/>
      <c r="H97" s="1"/>
    </row>
    <row r="98" spans="1:8" ht="24" x14ac:dyDescent="0.3">
      <c r="A98" s="62"/>
      <c r="B98" s="49"/>
      <c r="C98" s="51"/>
      <c r="D98" s="52" t="s">
        <v>692</v>
      </c>
      <c r="E98" s="1"/>
      <c r="F98" s="1"/>
      <c r="G98" s="1"/>
      <c r="H98" s="1"/>
    </row>
    <row r="99" spans="1:8" ht="24" x14ac:dyDescent="0.3">
      <c r="A99" s="62"/>
      <c r="B99" s="49"/>
      <c r="C99" s="51"/>
      <c r="D99" s="52" t="s">
        <v>693</v>
      </c>
      <c r="E99" s="1"/>
      <c r="F99" s="1"/>
      <c r="G99" s="1"/>
      <c r="H99" s="1"/>
    </row>
    <row r="100" spans="1:8" ht="24" x14ac:dyDescent="0.3">
      <c r="A100" s="62"/>
      <c r="B100" s="49"/>
      <c r="C100" s="51"/>
      <c r="D100" s="52" t="s">
        <v>694</v>
      </c>
      <c r="E100" s="1"/>
      <c r="F100" s="1"/>
      <c r="G100" s="1"/>
      <c r="H100" s="1"/>
    </row>
    <row r="101" spans="1:8" ht="24" x14ac:dyDescent="0.3">
      <c r="A101" s="62"/>
      <c r="B101" s="49"/>
      <c r="C101" s="51" t="s">
        <v>620</v>
      </c>
      <c r="D101" s="52" t="s">
        <v>695</v>
      </c>
      <c r="E101" s="1"/>
      <c r="F101" s="1"/>
      <c r="G101" s="1"/>
      <c r="H101" s="1"/>
    </row>
    <row r="102" spans="1:8" x14ac:dyDescent="0.3">
      <c r="A102" s="62"/>
      <c r="B102" s="49"/>
      <c r="C102" s="51"/>
      <c r="D102" s="52" t="s">
        <v>696</v>
      </c>
      <c r="E102" s="1"/>
      <c r="F102" s="1"/>
      <c r="G102" s="1"/>
      <c r="H102" s="1"/>
    </row>
    <row r="103" spans="1:8" ht="24" x14ac:dyDescent="0.3">
      <c r="A103" s="62"/>
      <c r="B103" s="49"/>
      <c r="C103" s="51" t="s">
        <v>697</v>
      </c>
      <c r="D103" s="52" t="s">
        <v>698</v>
      </c>
      <c r="E103" s="1"/>
      <c r="F103" s="1"/>
      <c r="G103" s="1"/>
      <c r="H103" s="1"/>
    </row>
    <row r="104" spans="1:8" x14ac:dyDescent="0.3">
      <c r="A104" s="62"/>
      <c r="B104" s="49"/>
      <c r="C104" s="51"/>
      <c r="D104" s="52" t="s">
        <v>699</v>
      </c>
      <c r="E104" s="1"/>
      <c r="F104" s="1"/>
      <c r="G104" s="1"/>
      <c r="H104" s="1"/>
    </row>
    <row r="105" spans="1:8" ht="24" x14ac:dyDescent="0.3">
      <c r="A105" s="62"/>
      <c r="B105" s="49"/>
      <c r="C105" s="51" t="s">
        <v>700</v>
      </c>
      <c r="D105" s="52" t="s">
        <v>701</v>
      </c>
      <c r="E105" s="1"/>
      <c r="F105" s="1"/>
      <c r="G105" s="1"/>
      <c r="H105" s="1"/>
    </row>
    <row r="106" spans="1:8" ht="24" x14ac:dyDescent="0.3">
      <c r="A106" s="62"/>
      <c r="B106" s="49"/>
      <c r="C106" s="51"/>
      <c r="D106" s="52" t="s">
        <v>702</v>
      </c>
      <c r="E106" s="1"/>
      <c r="F106" s="1"/>
      <c r="G106" s="1">
        <f>SUM(F89:F106)</f>
        <v>0</v>
      </c>
      <c r="H106" s="61">
        <f>SUM(G19,G36,G45,G56,G70,G88,G106)</f>
        <v>0</v>
      </c>
    </row>
    <row r="107" spans="1:8" x14ac:dyDescent="0.3">
      <c r="A107" s="62" t="s">
        <v>82</v>
      </c>
      <c r="B107" s="49" t="s">
        <v>718</v>
      </c>
      <c r="C107" s="51" t="s">
        <v>644</v>
      </c>
      <c r="D107" s="52" t="s">
        <v>704</v>
      </c>
      <c r="E107" s="1"/>
      <c r="F107" s="1"/>
      <c r="G107" s="1"/>
      <c r="H107" s="1"/>
    </row>
    <row r="108" spans="1:8" ht="24" x14ac:dyDescent="0.3">
      <c r="A108" s="62"/>
      <c r="B108" s="49"/>
      <c r="C108" s="51"/>
      <c r="D108" s="52" t="s">
        <v>705</v>
      </c>
      <c r="E108" s="1"/>
      <c r="F108" s="1"/>
      <c r="G108" s="1"/>
      <c r="H108" s="1"/>
    </row>
    <row r="109" spans="1:8" ht="24" x14ac:dyDescent="0.3">
      <c r="A109" s="62"/>
      <c r="B109" s="49"/>
      <c r="C109" s="51"/>
      <c r="D109" s="52" t="s">
        <v>706</v>
      </c>
      <c r="E109" s="1"/>
      <c r="F109" s="1"/>
      <c r="G109" s="1"/>
      <c r="H109" s="1"/>
    </row>
    <row r="110" spans="1:8" x14ac:dyDescent="0.3">
      <c r="A110" s="62"/>
      <c r="B110" s="49"/>
      <c r="C110" s="51"/>
      <c r="D110" s="52" t="s">
        <v>707</v>
      </c>
      <c r="E110" s="1"/>
      <c r="F110" s="1"/>
      <c r="G110" s="1"/>
      <c r="H110" s="1"/>
    </row>
    <row r="111" spans="1:8" x14ac:dyDescent="0.3">
      <c r="A111" s="62"/>
      <c r="B111" s="49"/>
      <c r="C111" s="51" t="s">
        <v>653</v>
      </c>
      <c r="D111" s="52" t="s">
        <v>708</v>
      </c>
      <c r="E111" s="1"/>
      <c r="F111" s="1"/>
      <c r="G111" s="1"/>
      <c r="H111" s="1"/>
    </row>
    <row r="112" spans="1:8" x14ac:dyDescent="0.3">
      <c r="A112" s="62"/>
      <c r="B112" s="49"/>
      <c r="C112" s="51"/>
      <c r="D112" s="52" t="s">
        <v>709</v>
      </c>
      <c r="E112" s="1"/>
      <c r="F112" s="1"/>
      <c r="G112" s="1"/>
      <c r="H112" s="1"/>
    </row>
    <row r="113" spans="1:8" x14ac:dyDescent="0.3">
      <c r="A113" s="62"/>
      <c r="B113" s="49"/>
      <c r="C113" s="51"/>
      <c r="D113" s="52" t="s">
        <v>710</v>
      </c>
      <c r="E113" s="1"/>
      <c r="F113" s="1"/>
      <c r="G113" s="1"/>
      <c r="H113" s="1"/>
    </row>
    <row r="114" spans="1:8" x14ac:dyDescent="0.3">
      <c r="A114" s="62"/>
      <c r="B114" s="49"/>
      <c r="C114" s="51"/>
      <c r="D114" s="52" t="s">
        <v>711</v>
      </c>
      <c r="E114" s="1"/>
      <c r="F114" s="1"/>
      <c r="G114" s="1"/>
      <c r="H114" s="1"/>
    </row>
    <row r="115" spans="1:8" x14ac:dyDescent="0.3">
      <c r="A115" s="62"/>
      <c r="B115" s="49"/>
      <c r="C115" s="51" t="s">
        <v>687</v>
      </c>
      <c r="D115" s="52" t="s">
        <v>707</v>
      </c>
      <c r="E115" s="1"/>
      <c r="F115" s="1"/>
      <c r="G115" s="1"/>
      <c r="H115" s="1"/>
    </row>
    <row r="116" spans="1:8" x14ac:dyDescent="0.3">
      <c r="A116" s="62"/>
      <c r="B116" s="49"/>
      <c r="C116" s="51"/>
      <c r="D116" s="52" t="s">
        <v>712</v>
      </c>
      <c r="E116" s="1"/>
      <c r="F116" s="1"/>
      <c r="G116" s="1"/>
      <c r="H116" s="1"/>
    </row>
    <row r="117" spans="1:8" x14ac:dyDescent="0.3">
      <c r="A117" s="62"/>
      <c r="B117" s="49"/>
      <c r="C117" s="51"/>
      <c r="D117" s="52" t="s">
        <v>713</v>
      </c>
      <c r="E117" s="1"/>
      <c r="F117" s="1"/>
      <c r="G117" s="1"/>
      <c r="H117" s="1"/>
    </row>
    <row r="118" spans="1:8" x14ac:dyDescent="0.3">
      <c r="A118" s="62"/>
      <c r="B118" s="49"/>
      <c r="C118" s="51" t="s">
        <v>663</v>
      </c>
      <c r="D118" s="52" t="s">
        <v>714</v>
      </c>
      <c r="E118" s="1"/>
      <c r="F118" s="1"/>
      <c r="G118" s="1"/>
      <c r="H118" s="1"/>
    </row>
    <row r="119" spans="1:8" x14ac:dyDescent="0.3">
      <c r="A119" s="62"/>
      <c r="B119" s="49"/>
      <c r="C119" s="51"/>
      <c r="D119" s="52" t="s">
        <v>715</v>
      </c>
      <c r="E119" s="1"/>
      <c r="F119" s="1"/>
      <c r="G119" s="1"/>
      <c r="H119" s="1"/>
    </row>
    <row r="120" spans="1:8" x14ac:dyDescent="0.3">
      <c r="A120" s="62"/>
      <c r="B120" s="49"/>
      <c r="C120" s="51"/>
      <c r="D120" s="52" t="s">
        <v>716</v>
      </c>
      <c r="E120" s="1"/>
      <c r="F120" s="1"/>
      <c r="G120" s="1"/>
      <c r="H120" s="1"/>
    </row>
    <row r="121" spans="1:8" x14ac:dyDescent="0.3">
      <c r="A121" s="62"/>
      <c r="B121" s="49"/>
      <c r="C121" s="51"/>
      <c r="D121" s="52" t="s">
        <v>717</v>
      </c>
      <c r="E121" s="1"/>
      <c r="F121" s="1"/>
      <c r="G121" s="1">
        <f>SUM(F107:F121)</f>
        <v>0</v>
      </c>
      <c r="H121" s="61">
        <f>SUM(G121)</f>
        <v>0</v>
      </c>
    </row>
    <row r="122" spans="1:8" x14ac:dyDescent="0.3">
      <c r="A122" s="5"/>
      <c r="G122">
        <f>SUM(G121,G106,G88,G70,G56,G45,G36,G19)</f>
        <v>0</v>
      </c>
    </row>
  </sheetData>
  <mergeCells count="39">
    <mergeCell ref="C115:C117"/>
    <mergeCell ref="C118:C121"/>
    <mergeCell ref="B107:B121"/>
    <mergeCell ref="A107:A121"/>
    <mergeCell ref="A2:A106"/>
    <mergeCell ref="C101:C102"/>
    <mergeCell ref="C103:C104"/>
    <mergeCell ref="C105:C106"/>
    <mergeCell ref="B89:B106"/>
    <mergeCell ref="C107:C110"/>
    <mergeCell ref="C111:C114"/>
    <mergeCell ref="C80:C83"/>
    <mergeCell ref="C84:C86"/>
    <mergeCell ref="B71:B88"/>
    <mergeCell ref="C89:C90"/>
    <mergeCell ref="C92:C95"/>
    <mergeCell ref="C96:C100"/>
    <mergeCell ref="C64:C67"/>
    <mergeCell ref="C69:C70"/>
    <mergeCell ref="B57:B70"/>
    <mergeCell ref="C71:C72"/>
    <mergeCell ref="C74:C79"/>
    <mergeCell ref="C46:C49"/>
    <mergeCell ref="C50:C55"/>
    <mergeCell ref="B46:B56"/>
    <mergeCell ref="C57:C58"/>
    <mergeCell ref="C59:C60"/>
    <mergeCell ref="C61:C63"/>
    <mergeCell ref="C29:C32"/>
    <mergeCell ref="C34:C35"/>
    <mergeCell ref="C37:C38"/>
    <mergeCell ref="C40:C45"/>
    <mergeCell ref="B37:B45"/>
    <mergeCell ref="C13:C14"/>
    <mergeCell ref="C15:C16"/>
    <mergeCell ref="C17:C18"/>
    <mergeCell ref="C20:C21"/>
    <mergeCell ref="C22:C23"/>
    <mergeCell ref="C25:C28"/>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291E0-EDE8-4147-AF5D-A21185F681E5}">
  <dimension ref="A1:G28"/>
  <sheetViews>
    <sheetView zoomScale="130" zoomScaleNormal="130" workbookViewId="0">
      <selection activeCell="C18" sqref="C18"/>
    </sheetView>
  </sheetViews>
  <sheetFormatPr defaultRowHeight="16.5" x14ac:dyDescent="0.3"/>
  <cols>
    <col min="1" max="1" width="18.875" customWidth="1"/>
    <col min="2" max="2" width="11" bestFit="1" customWidth="1"/>
    <col min="3" max="3" width="22" bestFit="1" customWidth="1"/>
    <col min="4" max="4" width="55.25" customWidth="1"/>
    <col min="5" max="5" width="12.625" customWidth="1"/>
    <col min="6" max="6" width="8.5" bestFit="1" customWidth="1"/>
  </cols>
  <sheetData>
    <row r="1" spans="1:7" x14ac:dyDescent="0.3">
      <c r="A1" s="6" t="s">
        <v>73</v>
      </c>
    </row>
    <row r="2" spans="1:7" x14ac:dyDescent="0.3">
      <c r="A2" s="3" t="s">
        <v>7</v>
      </c>
      <c r="B2" s="3" t="s">
        <v>399</v>
      </c>
      <c r="C2" s="3" t="s">
        <v>402</v>
      </c>
      <c r="D2" s="3"/>
      <c r="E2" s="3"/>
      <c r="F2" s="3"/>
      <c r="G2" s="3"/>
    </row>
    <row r="3" spans="1:7" x14ac:dyDescent="0.3">
      <c r="A3" s="23" t="s">
        <v>403</v>
      </c>
      <c r="B3" s="24" t="s">
        <v>404</v>
      </c>
      <c r="C3" s="23" t="s">
        <v>11</v>
      </c>
      <c r="D3" s="23"/>
      <c r="E3" s="23"/>
      <c r="F3" s="23"/>
      <c r="G3" s="23"/>
    </row>
    <row r="4" spans="1:7" x14ac:dyDescent="0.3">
      <c r="A4" s="23"/>
      <c r="B4" s="24"/>
      <c r="C4" s="23" t="s">
        <v>405</v>
      </c>
      <c r="D4" s="23"/>
      <c r="E4" s="23"/>
      <c r="F4" s="23"/>
      <c r="G4" s="23"/>
    </row>
    <row r="5" spans="1:7" x14ac:dyDescent="0.3">
      <c r="A5" s="23"/>
      <c r="B5" s="24"/>
      <c r="C5" s="23" t="s">
        <v>406</v>
      </c>
      <c r="D5" s="23"/>
      <c r="E5" s="23"/>
      <c r="F5" s="23"/>
      <c r="G5" s="23"/>
    </row>
    <row r="6" spans="1:7" x14ac:dyDescent="0.3">
      <c r="A6" s="23"/>
      <c r="B6" s="24"/>
      <c r="C6" s="23" t="s">
        <v>407</v>
      </c>
      <c r="D6" s="23"/>
      <c r="E6" s="23"/>
      <c r="F6" s="23"/>
      <c r="G6" s="23"/>
    </row>
    <row r="7" spans="1:7" x14ac:dyDescent="0.3">
      <c r="A7" s="23"/>
      <c r="B7" s="24"/>
      <c r="C7" s="23" t="s">
        <v>408</v>
      </c>
      <c r="D7" s="23"/>
      <c r="E7" s="23"/>
      <c r="F7" s="23"/>
      <c r="G7" s="23"/>
    </row>
    <row r="8" spans="1:7" x14ac:dyDescent="0.3">
      <c r="A8" s="23"/>
      <c r="B8" s="24"/>
      <c r="C8" s="23" t="s">
        <v>409</v>
      </c>
      <c r="D8" s="23"/>
      <c r="E8" s="23"/>
      <c r="F8" s="23"/>
      <c r="G8" s="23"/>
    </row>
    <row r="9" spans="1:7" x14ac:dyDescent="0.3">
      <c r="A9" s="23"/>
      <c r="B9" s="24"/>
      <c r="C9" s="23"/>
      <c r="D9" s="23"/>
      <c r="E9" s="23"/>
      <c r="F9" s="23"/>
      <c r="G9" s="23"/>
    </row>
    <row r="10" spans="1:7" x14ac:dyDescent="0.3">
      <c r="A10" s="23"/>
      <c r="B10" s="24"/>
      <c r="C10" s="23"/>
      <c r="D10" s="23"/>
      <c r="E10" s="23"/>
      <c r="F10" s="23"/>
      <c r="G10" s="23"/>
    </row>
    <row r="11" spans="1:7" x14ac:dyDescent="0.3">
      <c r="A11" s="23"/>
      <c r="B11" s="24"/>
      <c r="C11" s="23"/>
      <c r="D11" s="23"/>
      <c r="E11" s="23"/>
      <c r="F11" s="23"/>
      <c r="G11" s="23"/>
    </row>
    <row r="12" spans="1:7" x14ac:dyDescent="0.3">
      <c r="A12" s="45" t="s">
        <v>401</v>
      </c>
      <c r="B12" s="46" t="s">
        <v>376</v>
      </c>
      <c r="C12" s="1" t="s">
        <v>381</v>
      </c>
      <c r="D12" s="22"/>
      <c r="E12" s="1"/>
      <c r="F12" s="1"/>
      <c r="G12" s="1"/>
    </row>
    <row r="13" spans="1:7" x14ac:dyDescent="0.3">
      <c r="A13" s="45"/>
      <c r="B13" s="47"/>
      <c r="C13" s="1" t="s">
        <v>382</v>
      </c>
      <c r="D13" s="1"/>
      <c r="E13" s="1"/>
      <c r="F13" s="1"/>
      <c r="G13" s="1"/>
    </row>
    <row r="14" spans="1:7" x14ac:dyDescent="0.3">
      <c r="A14" s="45"/>
      <c r="B14" s="46" t="s">
        <v>377</v>
      </c>
      <c r="C14" s="1" t="s">
        <v>400</v>
      </c>
      <c r="D14" s="1"/>
      <c r="E14" s="1"/>
      <c r="F14" s="1"/>
      <c r="G14" s="1"/>
    </row>
    <row r="15" spans="1:7" x14ac:dyDescent="0.3">
      <c r="A15" s="45"/>
      <c r="B15" s="48"/>
      <c r="C15" s="1" t="s">
        <v>384</v>
      </c>
      <c r="D15" s="1"/>
      <c r="E15" s="1"/>
      <c r="F15" s="1"/>
      <c r="G15" s="1"/>
    </row>
    <row r="16" spans="1:7" x14ac:dyDescent="0.3">
      <c r="A16" s="45"/>
      <c r="B16" s="47"/>
      <c r="C16" s="1" t="s">
        <v>385</v>
      </c>
      <c r="D16" s="1"/>
      <c r="E16" s="1"/>
      <c r="F16" s="1"/>
      <c r="G16" s="1"/>
    </row>
    <row r="17" spans="1:7" x14ac:dyDescent="0.3">
      <c r="A17" s="45"/>
      <c r="B17" s="46" t="s">
        <v>378</v>
      </c>
      <c r="C17" s="1" t="s">
        <v>386</v>
      </c>
      <c r="D17" s="1"/>
      <c r="E17" s="1"/>
      <c r="F17" s="1"/>
      <c r="G17" s="1"/>
    </row>
    <row r="18" spans="1:7" x14ac:dyDescent="0.3">
      <c r="A18" s="45"/>
      <c r="B18" s="48"/>
      <c r="C18" s="1" t="s">
        <v>387</v>
      </c>
      <c r="D18" s="1"/>
      <c r="E18" s="1"/>
      <c r="F18" s="1"/>
      <c r="G18" s="1"/>
    </row>
    <row r="19" spans="1:7" x14ac:dyDescent="0.3">
      <c r="A19" s="45"/>
      <c r="B19" s="47"/>
      <c r="C19" s="1" t="s">
        <v>388</v>
      </c>
      <c r="D19" s="1"/>
      <c r="E19" s="1"/>
      <c r="F19" s="1"/>
      <c r="G19" s="1"/>
    </row>
    <row r="20" spans="1:7" x14ac:dyDescent="0.3">
      <c r="A20" s="45"/>
      <c r="B20" s="46" t="s">
        <v>379</v>
      </c>
      <c r="C20" s="1" t="s">
        <v>389</v>
      </c>
      <c r="D20" s="1"/>
      <c r="E20" s="1"/>
      <c r="F20" s="1"/>
      <c r="G20" s="1"/>
    </row>
    <row r="21" spans="1:7" x14ac:dyDescent="0.3">
      <c r="A21" s="45"/>
      <c r="B21" s="48"/>
      <c r="C21" s="1" t="s">
        <v>390</v>
      </c>
      <c r="D21" s="1"/>
      <c r="E21" s="1"/>
      <c r="F21" s="1"/>
      <c r="G21" s="1"/>
    </row>
    <row r="22" spans="1:7" x14ac:dyDescent="0.3">
      <c r="A22" s="45"/>
      <c r="B22" s="47"/>
      <c r="C22" s="1" t="s">
        <v>391</v>
      </c>
      <c r="D22" s="1"/>
      <c r="E22" s="1"/>
      <c r="F22" s="1"/>
      <c r="G22" s="1"/>
    </row>
    <row r="23" spans="1:7" x14ac:dyDescent="0.3">
      <c r="A23" s="45"/>
      <c r="B23" s="46" t="s">
        <v>380</v>
      </c>
      <c r="C23" s="1" t="s">
        <v>392</v>
      </c>
      <c r="D23" s="1"/>
      <c r="E23" s="1"/>
      <c r="F23" s="1"/>
      <c r="G23" s="1"/>
    </row>
    <row r="24" spans="1:7" x14ac:dyDescent="0.3">
      <c r="A24" s="45"/>
      <c r="B24" s="48"/>
      <c r="C24" s="1" t="s">
        <v>393</v>
      </c>
      <c r="D24" s="1"/>
      <c r="E24" s="1"/>
      <c r="F24" s="1"/>
      <c r="G24" s="1"/>
    </row>
    <row r="25" spans="1:7" x14ac:dyDescent="0.3">
      <c r="A25" s="45"/>
      <c r="B25" s="48"/>
      <c r="C25" s="1" t="s">
        <v>394</v>
      </c>
      <c r="D25" s="1"/>
      <c r="E25" s="1"/>
      <c r="F25" s="1"/>
      <c r="G25" s="1"/>
    </row>
    <row r="26" spans="1:7" x14ac:dyDescent="0.3">
      <c r="A26" s="45"/>
      <c r="B26" s="48"/>
      <c r="C26" s="1" t="s">
        <v>395</v>
      </c>
      <c r="D26" s="1"/>
      <c r="E26" s="1"/>
      <c r="F26" s="1"/>
      <c r="G26" s="1"/>
    </row>
    <row r="27" spans="1:7" x14ac:dyDescent="0.3">
      <c r="A27" s="45"/>
      <c r="B27" s="48"/>
      <c r="C27" s="1" t="s">
        <v>396</v>
      </c>
      <c r="D27" s="1"/>
      <c r="E27" s="1"/>
      <c r="F27" s="1"/>
      <c r="G27" s="1"/>
    </row>
    <row r="28" spans="1:7" x14ac:dyDescent="0.3">
      <c r="A28" s="45"/>
      <c r="B28" s="47"/>
      <c r="C28" s="1" t="s">
        <v>397</v>
      </c>
      <c r="D28" s="1"/>
      <c r="E28" s="1"/>
      <c r="F28" s="1"/>
      <c r="G28" s="1"/>
    </row>
  </sheetData>
  <mergeCells count="6">
    <mergeCell ref="A12:A28"/>
    <mergeCell ref="B12:B13"/>
    <mergeCell ref="B14:B16"/>
    <mergeCell ref="B17:B19"/>
    <mergeCell ref="B20:B22"/>
    <mergeCell ref="B23:B28"/>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73AC1-E9A2-40FC-AA55-9EF90A1AF74B}">
  <dimension ref="A1:G218"/>
  <sheetViews>
    <sheetView topLeftCell="A11" zoomScaleNormal="100" workbookViewId="0">
      <selection activeCell="B209" sqref="B209"/>
    </sheetView>
  </sheetViews>
  <sheetFormatPr defaultRowHeight="16.5" x14ac:dyDescent="0.3"/>
  <cols>
    <col min="1" max="1" width="18.875" customWidth="1"/>
    <col min="2" max="2" width="23.5" bestFit="1" customWidth="1"/>
    <col min="3" max="3" width="62.5" bestFit="1" customWidth="1"/>
    <col min="4" max="4" width="8.5" bestFit="1" customWidth="1"/>
    <col min="5" max="5" width="12.625" customWidth="1"/>
    <col min="6" max="6" width="8.5" bestFit="1" customWidth="1"/>
  </cols>
  <sheetData>
    <row r="1" spans="1:7" x14ac:dyDescent="0.3">
      <c r="A1" s="6" t="s">
        <v>73</v>
      </c>
    </row>
    <row r="2" spans="1:7" x14ac:dyDescent="0.3">
      <c r="A2" s="3" t="s">
        <v>7</v>
      </c>
      <c r="B2" s="3" t="s">
        <v>8</v>
      </c>
      <c r="C2" s="3" t="s">
        <v>9</v>
      </c>
      <c r="D2" s="3" t="s">
        <v>284</v>
      </c>
      <c r="E2" s="3" t="s">
        <v>285</v>
      </c>
      <c r="F2" s="3" t="s">
        <v>282</v>
      </c>
      <c r="G2" s="3" t="s">
        <v>283</v>
      </c>
    </row>
    <row r="3" spans="1:7" x14ac:dyDescent="0.3">
      <c r="A3" s="46" t="s">
        <v>10</v>
      </c>
      <c r="B3" s="1" t="s">
        <v>11</v>
      </c>
      <c r="C3" s="1" t="s">
        <v>221</v>
      </c>
      <c r="D3" s="1">
        <v>1</v>
      </c>
      <c r="E3" s="1">
        <v>1</v>
      </c>
      <c r="F3" s="1"/>
      <c r="G3" s="1"/>
    </row>
    <row r="4" spans="1:7" x14ac:dyDescent="0.3">
      <c r="A4" s="48"/>
      <c r="B4" s="1" t="s">
        <v>12</v>
      </c>
      <c r="C4" s="1" t="s">
        <v>222</v>
      </c>
      <c r="D4" s="1">
        <v>1</v>
      </c>
      <c r="E4" s="1">
        <v>1</v>
      </c>
      <c r="F4" s="1"/>
      <c r="G4" s="1"/>
    </row>
    <row r="5" spans="1:7" x14ac:dyDescent="0.3">
      <c r="A5" s="48"/>
      <c r="B5" s="1" t="s">
        <v>13</v>
      </c>
      <c r="C5" s="1" t="s">
        <v>223</v>
      </c>
      <c r="D5" s="1">
        <v>1</v>
      </c>
      <c r="E5" s="1">
        <v>1</v>
      </c>
      <c r="F5" s="1"/>
      <c r="G5" s="1"/>
    </row>
    <row r="6" spans="1:7" x14ac:dyDescent="0.3">
      <c r="A6" s="48"/>
      <c r="B6" s="1" t="s">
        <v>14</v>
      </c>
      <c r="C6" s="1" t="s">
        <v>224</v>
      </c>
      <c r="D6" s="1">
        <v>1</v>
      </c>
      <c r="E6" s="1">
        <v>1</v>
      </c>
      <c r="F6" s="1"/>
      <c r="G6" s="1"/>
    </row>
    <row r="7" spans="1:7" x14ac:dyDescent="0.3">
      <c r="A7" s="48"/>
      <c r="B7" s="1" t="s">
        <v>15</v>
      </c>
      <c r="C7" s="1" t="s">
        <v>225</v>
      </c>
      <c r="D7" s="1">
        <v>1</v>
      </c>
      <c r="E7" s="1">
        <v>1</v>
      </c>
      <c r="F7" s="1"/>
      <c r="G7" s="1"/>
    </row>
    <row r="8" spans="1:7" x14ac:dyDescent="0.3">
      <c r="A8" s="48"/>
      <c r="B8" s="1" t="s">
        <v>16</v>
      </c>
      <c r="C8" s="1" t="s">
        <v>226</v>
      </c>
      <c r="D8" s="1">
        <v>1</v>
      </c>
      <c r="E8" s="1">
        <v>1</v>
      </c>
      <c r="F8" s="1"/>
      <c r="G8" s="1"/>
    </row>
    <row r="9" spans="1:7" x14ac:dyDescent="0.3">
      <c r="A9" s="48"/>
      <c r="B9" s="1" t="s">
        <v>17</v>
      </c>
      <c r="C9" s="1" t="s">
        <v>227</v>
      </c>
      <c r="D9" s="1">
        <v>1</v>
      </c>
      <c r="E9" s="1">
        <v>1</v>
      </c>
      <c r="F9" s="1"/>
      <c r="G9" s="1"/>
    </row>
    <row r="10" spans="1:7" x14ac:dyDescent="0.3">
      <c r="A10" s="48"/>
      <c r="B10" s="1" t="s">
        <v>18</v>
      </c>
      <c r="C10" s="1" t="s">
        <v>228</v>
      </c>
      <c r="D10" s="1">
        <v>1</v>
      </c>
      <c r="E10" s="1">
        <v>1</v>
      </c>
      <c r="F10" s="1"/>
      <c r="G10" s="1"/>
    </row>
    <row r="11" spans="1:7" x14ac:dyDescent="0.3">
      <c r="A11" s="47"/>
      <c r="B11" s="1" t="s">
        <v>19</v>
      </c>
      <c r="C11" s="1" t="s">
        <v>229</v>
      </c>
      <c r="D11" s="1">
        <v>1</v>
      </c>
      <c r="E11" s="1">
        <v>1</v>
      </c>
      <c r="F11" s="1"/>
      <c r="G11" s="1"/>
    </row>
    <row r="12" spans="1:7" x14ac:dyDescent="0.3">
      <c r="A12" s="46" t="s">
        <v>31</v>
      </c>
      <c r="B12" s="1" t="s">
        <v>20</v>
      </c>
      <c r="C12" s="1" t="s">
        <v>230</v>
      </c>
      <c r="D12" s="1">
        <v>1</v>
      </c>
      <c r="E12" s="1">
        <v>1</v>
      </c>
      <c r="F12" s="1"/>
      <c r="G12" s="1"/>
    </row>
    <row r="13" spans="1:7" x14ac:dyDescent="0.3">
      <c r="A13" s="48"/>
      <c r="B13" s="1" t="s">
        <v>21</v>
      </c>
      <c r="C13" s="1" t="s">
        <v>231</v>
      </c>
      <c r="D13" s="1">
        <v>1</v>
      </c>
      <c r="E13" s="1">
        <v>1</v>
      </c>
      <c r="F13" s="1"/>
      <c r="G13" s="1"/>
    </row>
    <row r="14" spans="1:7" x14ac:dyDescent="0.3">
      <c r="A14" s="48"/>
      <c r="B14" s="1" t="s">
        <v>22</v>
      </c>
      <c r="C14" s="1" t="s">
        <v>232</v>
      </c>
      <c r="D14" s="1">
        <v>1</v>
      </c>
      <c r="E14" s="1">
        <v>1</v>
      </c>
      <c r="F14" s="1"/>
      <c r="G14" s="1"/>
    </row>
    <row r="15" spans="1:7" x14ac:dyDescent="0.3">
      <c r="A15" s="48"/>
      <c r="B15" s="1" t="s">
        <v>23</v>
      </c>
      <c r="C15" s="1" t="s">
        <v>233</v>
      </c>
      <c r="D15" s="1">
        <v>1</v>
      </c>
      <c r="E15" s="1">
        <v>1</v>
      </c>
      <c r="F15" s="1"/>
      <c r="G15" s="1"/>
    </row>
    <row r="16" spans="1:7" x14ac:dyDescent="0.3">
      <c r="A16" s="48"/>
      <c r="B16" s="1" t="s">
        <v>24</v>
      </c>
      <c r="C16" s="1" t="s">
        <v>234</v>
      </c>
      <c r="D16" s="1">
        <v>1</v>
      </c>
      <c r="E16" s="1">
        <v>1</v>
      </c>
      <c r="F16" s="1"/>
      <c r="G16" s="1"/>
    </row>
    <row r="17" spans="1:7" x14ac:dyDescent="0.3">
      <c r="A17" s="48"/>
      <c r="B17" s="1" t="s">
        <v>25</v>
      </c>
      <c r="C17" s="1" t="s">
        <v>235</v>
      </c>
      <c r="D17" s="1">
        <v>1</v>
      </c>
      <c r="E17" s="1">
        <v>1</v>
      </c>
      <c r="F17" s="1"/>
      <c r="G17" s="1"/>
    </row>
    <row r="18" spans="1:7" x14ac:dyDescent="0.3">
      <c r="A18" s="48"/>
      <c r="B18" s="1" t="s">
        <v>26</v>
      </c>
      <c r="C18" s="1" t="s">
        <v>236</v>
      </c>
      <c r="D18" s="1">
        <v>1</v>
      </c>
      <c r="E18" s="1">
        <v>1</v>
      </c>
      <c r="F18" s="1"/>
      <c r="G18" s="1"/>
    </row>
    <row r="19" spans="1:7" x14ac:dyDescent="0.3">
      <c r="A19" s="48"/>
      <c r="B19" s="1" t="s">
        <v>27</v>
      </c>
      <c r="C19" s="1" t="s">
        <v>237</v>
      </c>
      <c r="D19" s="1">
        <v>1</v>
      </c>
      <c r="E19" s="1">
        <v>1</v>
      </c>
      <c r="F19" s="1"/>
      <c r="G19" s="1"/>
    </row>
    <row r="20" spans="1:7" x14ac:dyDescent="0.3">
      <c r="A20" s="48"/>
      <c r="B20" s="1" t="s">
        <v>28</v>
      </c>
      <c r="C20" s="1" t="s">
        <v>238</v>
      </c>
      <c r="D20" s="1">
        <v>1</v>
      </c>
      <c r="E20" s="1">
        <v>1</v>
      </c>
      <c r="F20" s="1"/>
      <c r="G20" s="1"/>
    </row>
    <row r="21" spans="1:7" x14ac:dyDescent="0.3">
      <c r="A21" s="48"/>
      <c r="B21" s="1" t="s">
        <v>29</v>
      </c>
      <c r="C21" s="1" t="s">
        <v>239</v>
      </c>
      <c r="D21" s="1">
        <v>1</v>
      </c>
      <c r="E21" s="1">
        <v>1</v>
      </c>
      <c r="F21" s="1"/>
      <c r="G21" s="1"/>
    </row>
    <row r="22" spans="1:7" x14ac:dyDescent="0.3">
      <c r="A22" s="48"/>
      <c r="B22" s="1" t="s">
        <v>30</v>
      </c>
      <c r="C22" s="1" t="s">
        <v>240</v>
      </c>
      <c r="D22" s="1">
        <v>1</v>
      </c>
      <c r="E22" s="1">
        <v>1</v>
      </c>
      <c r="F22" s="1"/>
      <c r="G22" s="1"/>
    </row>
    <row r="23" spans="1:7" x14ac:dyDescent="0.3">
      <c r="A23" s="48"/>
      <c r="B23" s="1" t="s">
        <v>32</v>
      </c>
      <c r="C23" s="1" t="s">
        <v>241</v>
      </c>
      <c r="D23" s="1">
        <v>1</v>
      </c>
      <c r="E23" s="1">
        <v>1</v>
      </c>
      <c r="F23" s="1"/>
      <c r="G23" s="1"/>
    </row>
    <row r="24" spans="1:7" x14ac:dyDescent="0.3">
      <c r="A24" s="47"/>
      <c r="B24" s="1" t="s">
        <v>33</v>
      </c>
      <c r="C24" s="1" t="s">
        <v>242</v>
      </c>
      <c r="D24" s="1">
        <v>1</v>
      </c>
      <c r="E24" s="1">
        <v>1</v>
      </c>
      <c r="F24" s="1"/>
      <c r="G24" s="1"/>
    </row>
    <row r="25" spans="1:7" x14ac:dyDescent="0.3">
      <c r="A25" s="46" t="s">
        <v>36</v>
      </c>
      <c r="B25" s="1" t="s">
        <v>34</v>
      </c>
      <c r="C25" s="1" t="s">
        <v>243</v>
      </c>
      <c r="D25" s="1">
        <v>1</v>
      </c>
      <c r="E25" s="1">
        <v>1</v>
      </c>
      <c r="F25" s="1"/>
      <c r="G25" s="1"/>
    </row>
    <row r="26" spans="1:7" x14ac:dyDescent="0.3">
      <c r="A26" s="47"/>
      <c r="B26" s="1" t="s">
        <v>35</v>
      </c>
      <c r="C26" s="1" t="s">
        <v>244</v>
      </c>
      <c r="D26" s="1">
        <v>1</v>
      </c>
      <c r="E26" s="1">
        <v>1</v>
      </c>
      <c r="F26" s="1"/>
      <c r="G26" s="1"/>
    </row>
    <row r="27" spans="1:7" x14ac:dyDescent="0.3">
      <c r="A27" s="49" t="s">
        <v>37</v>
      </c>
      <c r="B27" s="1" t="s">
        <v>38</v>
      </c>
      <c r="C27" s="1" t="s">
        <v>245</v>
      </c>
      <c r="D27" s="1">
        <v>1</v>
      </c>
      <c r="E27" s="1">
        <v>1</v>
      </c>
      <c r="F27" s="1"/>
      <c r="G27" s="1"/>
    </row>
    <row r="28" spans="1:7" x14ac:dyDescent="0.3">
      <c r="A28" s="49"/>
      <c r="B28" s="1" t="s">
        <v>39</v>
      </c>
      <c r="C28" s="1" t="s">
        <v>246</v>
      </c>
      <c r="D28" s="1">
        <v>1</v>
      </c>
      <c r="E28" s="1">
        <v>1</v>
      </c>
      <c r="F28" s="1"/>
      <c r="G28" s="1"/>
    </row>
    <row r="29" spans="1:7" x14ac:dyDescent="0.3">
      <c r="A29" s="49"/>
      <c r="B29" s="1" t="s">
        <v>40</v>
      </c>
      <c r="C29" s="1" t="s">
        <v>247</v>
      </c>
      <c r="D29" s="1">
        <v>1</v>
      </c>
      <c r="E29" s="1">
        <v>1</v>
      </c>
      <c r="F29" s="1"/>
      <c r="G29" s="1"/>
    </row>
    <row r="30" spans="1:7" x14ac:dyDescent="0.3">
      <c r="A30" s="49"/>
      <c r="B30" s="1" t="s">
        <v>41</v>
      </c>
      <c r="C30" s="1" t="s">
        <v>248</v>
      </c>
      <c r="D30" s="1">
        <v>1</v>
      </c>
      <c r="E30" s="1">
        <v>1</v>
      </c>
      <c r="F30" s="1"/>
      <c r="G30" s="1"/>
    </row>
    <row r="31" spans="1:7" x14ac:dyDescent="0.3">
      <c r="A31" s="49"/>
      <c r="B31" s="1" t="s">
        <v>42</v>
      </c>
      <c r="C31" s="1" t="s">
        <v>249</v>
      </c>
      <c r="D31" s="1">
        <v>1</v>
      </c>
      <c r="E31" s="1">
        <v>1</v>
      </c>
      <c r="F31" s="1"/>
      <c r="G31" s="1"/>
    </row>
    <row r="32" spans="1:7" x14ac:dyDescent="0.3">
      <c r="A32" s="49"/>
      <c r="B32" s="1" t="s">
        <v>43</v>
      </c>
      <c r="C32" s="1" t="s">
        <v>250</v>
      </c>
      <c r="D32" s="1">
        <v>1</v>
      </c>
      <c r="E32" s="1">
        <v>1</v>
      </c>
      <c r="F32" s="1"/>
      <c r="G32" s="1"/>
    </row>
    <row r="33" spans="1:7" x14ac:dyDescent="0.3">
      <c r="A33" s="49"/>
      <c r="B33" s="9" t="s">
        <v>44</v>
      </c>
      <c r="C33" s="1" t="s">
        <v>251</v>
      </c>
      <c r="D33" s="1">
        <v>1</v>
      </c>
      <c r="E33" s="1">
        <v>1</v>
      </c>
      <c r="F33" s="1"/>
      <c r="G33" s="1"/>
    </row>
    <row r="34" spans="1:7" x14ac:dyDescent="0.3">
      <c r="A34" s="49"/>
      <c r="B34" s="1" t="s">
        <v>45</v>
      </c>
      <c r="C34" s="1" t="s">
        <v>252</v>
      </c>
      <c r="D34" s="1">
        <v>1</v>
      </c>
      <c r="E34" s="1">
        <v>1</v>
      </c>
      <c r="F34" s="1"/>
      <c r="G34" s="1"/>
    </row>
    <row r="35" spans="1:7" x14ac:dyDescent="0.3">
      <c r="A35" s="46" t="s">
        <v>50</v>
      </c>
      <c r="B35" s="1" t="s">
        <v>46</v>
      </c>
      <c r="C35" s="1" t="s">
        <v>253</v>
      </c>
      <c r="D35" s="1">
        <v>1</v>
      </c>
      <c r="E35" s="1">
        <v>1</v>
      </c>
      <c r="F35" s="1"/>
      <c r="G35" s="1"/>
    </row>
    <row r="36" spans="1:7" x14ac:dyDescent="0.3">
      <c r="A36" s="48"/>
      <c r="B36" s="1" t="s">
        <v>47</v>
      </c>
      <c r="C36" s="1" t="s">
        <v>254</v>
      </c>
      <c r="D36" s="1">
        <v>1</v>
      </c>
      <c r="E36" s="1">
        <v>1</v>
      </c>
      <c r="F36" s="1"/>
      <c r="G36" s="1"/>
    </row>
    <row r="37" spans="1:7" x14ac:dyDescent="0.3">
      <c r="A37" s="48"/>
      <c r="B37" s="1" t="s">
        <v>48</v>
      </c>
      <c r="C37" s="1" t="s">
        <v>255</v>
      </c>
      <c r="D37" s="1">
        <v>1</v>
      </c>
      <c r="E37" s="1">
        <v>1</v>
      </c>
      <c r="F37" s="1"/>
      <c r="G37" s="1"/>
    </row>
    <row r="38" spans="1:7" x14ac:dyDescent="0.3">
      <c r="A38" s="47"/>
      <c r="B38" s="1" t="s">
        <v>49</v>
      </c>
      <c r="C38" s="1" t="s">
        <v>256</v>
      </c>
      <c r="D38" s="1">
        <v>1</v>
      </c>
      <c r="E38" s="1">
        <v>1</v>
      </c>
      <c r="F38" s="1"/>
      <c r="G38" s="1"/>
    </row>
    <row r="39" spans="1:7" x14ac:dyDescent="0.3">
      <c r="A39" s="46" t="s">
        <v>54</v>
      </c>
      <c r="B39" s="9" t="s">
        <v>51</v>
      </c>
      <c r="C39" s="1" t="s">
        <v>257</v>
      </c>
      <c r="D39" s="1">
        <v>1</v>
      </c>
      <c r="E39" s="1">
        <v>1</v>
      </c>
      <c r="F39" s="1"/>
      <c r="G39" s="1"/>
    </row>
    <row r="40" spans="1:7" x14ac:dyDescent="0.3">
      <c r="A40" s="48"/>
      <c r="B40" s="1" t="s">
        <v>52</v>
      </c>
      <c r="C40" s="1" t="s">
        <v>258</v>
      </c>
      <c r="D40" s="1">
        <v>1</v>
      </c>
      <c r="E40" s="1">
        <v>1</v>
      </c>
      <c r="F40" s="1"/>
      <c r="G40" s="1"/>
    </row>
    <row r="41" spans="1:7" x14ac:dyDescent="0.3">
      <c r="A41" s="47"/>
      <c r="B41" s="1" t="s">
        <v>53</v>
      </c>
      <c r="C41" s="1" t="s">
        <v>258</v>
      </c>
      <c r="D41" s="1">
        <v>1</v>
      </c>
      <c r="E41" s="1">
        <v>1</v>
      </c>
      <c r="F41" s="1"/>
      <c r="G41" s="1"/>
    </row>
    <row r="42" spans="1:7" x14ac:dyDescent="0.3">
      <c r="A42" s="46" t="s">
        <v>74</v>
      </c>
      <c r="B42" s="9" t="s">
        <v>55</v>
      </c>
      <c r="C42" s="1" t="s">
        <v>259</v>
      </c>
      <c r="D42" s="1">
        <v>1</v>
      </c>
      <c r="E42" s="1">
        <v>1</v>
      </c>
      <c r="F42" s="1"/>
      <c r="G42" s="1"/>
    </row>
    <row r="43" spans="1:7" x14ac:dyDescent="0.3">
      <c r="A43" s="48"/>
      <c r="B43" s="1" t="s">
        <v>56</v>
      </c>
      <c r="C43" s="1" t="s">
        <v>260</v>
      </c>
      <c r="D43" s="1">
        <v>1</v>
      </c>
      <c r="E43" s="1">
        <v>1</v>
      </c>
      <c r="F43" s="1"/>
      <c r="G43" s="1"/>
    </row>
    <row r="44" spans="1:7" x14ac:dyDescent="0.3">
      <c r="A44" s="48"/>
      <c r="B44" s="1" t="s">
        <v>57</v>
      </c>
      <c r="C44" s="1" t="s">
        <v>261</v>
      </c>
      <c r="D44" s="1">
        <v>1</v>
      </c>
      <c r="E44" s="1">
        <v>1</v>
      </c>
      <c r="F44" s="1"/>
      <c r="G44" s="1"/>
    </row>
    <row r="45" spans="1:7" x14ac:dyDescent="0.3">
      <c r="A45" s="48"/>
      <c r="B45" s="1" t="s">
        <v>58</v>
      </c>
      <c r="C45" s="1" t="s">
        <v>262</v>
      </c>
      <c r="D45" s="1">
        <v>1</v>
      </c>
      <c r="E45" s="1">
        <v>1</v>
      </c>
      <c r="F45" s="1"/>
      <c r="G45" s="1"/>
    </row>
    <row r="46" spans="1:7" x14ac:dyDescent="0.3">
      <c r="A46" s="48"/>
      <c r="B46" s="1" t="s">
        <v>59</v>
      </c>
      <c r="C46" s="1" t="s">
        <v>263</v>
      </c>
      <c r="D46" s="1">
        <v>1</v>
      </c>
      <c r="E46" s="1">
        <v>1</v>
      </c>
      <c r="F46" s="1"/>
      <c r="G46" s="1"/>
    </row>
    <row r="47" spans="1:7" x14ac:dyDescent="0.3">
      <c r="A47" s="48"/>
      <c r="B47" s="1" t="s">
        <v>60</v>
      </c>
      <c r="C47" s="1" t="s">
        <v>264</v>
      </c>
      <c r="D47" s="1">
        <v>1</v>
      </c>
      <c r="E47" s="1">
        <v>1</v>
      </c>
      <c r="F47" s="1"/>
      <c r="G47" s="1"/>
    </row>
    <row r="48" spans="1:7" x14ac:dyDescent="0.3">
      <c r="A48" s="48"/>
      <c r="B48" s="1" t="s">
        <v>61</v>
      </c>
      <c r="C48" s="1" t="s">
        <v>265</v>
      </c>
      <c r="D48" s="1">
        <v>1</v>
      </c>
      <c r="E48" s="1">
        <v>1</v>
      </c>
      <c r="F48" s="1"/>
      <c r="G48" s="1"/>
    </row>
    <row r="49" spans="1:7" x14ac:dyDescent="0.3">
      <c r="A49" s="48"/>
      <c r="B49" s="1" t="s">
        <v>62</v>
      </c>
      <c r="C49" s="1" t="s">
        <v>266</v>
      </c>
      <c r="D49" s="1">
        <v>1</v>
      </c>
      <c r="E49" s="1">
        <v>1</v>
      </c>
      <c r="F49" s="1"/>
      <c r="G49" s="1"/>
    </row>
    <row r="50" spans="1:7" x14ac:dyDescent="0.3">
      <c r="A50" s="48"/>
      <c r="B50" s="1" t="s">
        <v>63</v>
      </c>
      <c r="C50" s="1" t="s">
        <v>267</v>
      </c>
      <c r="D50" s="1">
        <v>1</v>
      </c>
      <c r="E50" s="1">
        <v>1</v>
      </c>
      <c r="F50" s="1"/>
      <c r="G50" s="1"/>
    </row>
    <row r="51" spans="1:7" x14ac:dyDescent="0.3">
      <c r="A51" s="48"/>
      <c r="B51" s="1" t="s">
        <v>64</v>
      </c>
      <c r="C51" s="1" t="s">
        <v>268</v>
      </c>
      <c r="D51" s="1">
        <v>1</v>
      </c>
      <c r="E51" s="1">
        <v>1</v>
      </c>
      <c r="F51" s="1"/>
      <c r="G51" s="1"/>
    </row>
    <row r="52" spans="1:7" x14ac:dyDescent="0.3">
      <c r="A52" s="48"/>
      <c r="B52" s="1" t="s">
        <v>65</v>
      </c>
      <c r="C52" s="1" t="s">
        <v>269</v>
      </c>
      <c r="D52" s="1">
        <v>1</v>
      </c>
      <c r="E52" s="1">
        <v>1</v>
      </c>
      <c r="F52" s="1"/>
      <c r="G52" s="1"/>
    </row>
    <row r="53" spans="1:7" x14ac:dyDescent="0.3">
      <c r="A53" s="48"/>
      <c r="B53" s="1" t="s">
        <v>66</v>
      </c>
      <c r="C53" s="1" t="s">
        <v>270</v>
      </c>
      <c r="D53" s="1">
        <v>1</v>
      </c>
      <c r="E53" s="1">
        <v>1</v>
      </c>
      <c r="F53" s="1"/>
      <c r="G53" s="1"/>
    </row>
    <row r="54" spans="1:7" x14ac:dyDescent="0.3">
      <c r="A54" s="48"/>
      <c r="B54" s="1" t="s">
        <v>67</v>
      </c>
      <c r="C54" s="1" t="s">
        <v>271</v>
      </c>
      <c r="D54" s="1">
        <v>1</v>
      </c>
      <c r="E54" s="1">
        <v>1</v>
      </c>
      <c r="F54" s="1"/>
      <c r="G54" s="1"/>
    </row>
    <row r="55" spans="1:7" x14ac:dyDescent="0.3">
      <c r="A55" s="47"/>
      <c r="B55" s="1" t="s">
        <v>68</v>
      </c>
      <c r="C55" s="1" t="s">
        <v>272</v>
      </c>
      <c r="D55" s="1">
        <v>1</v>
      </c>
      <c r="E55" s="1">
        <v>1</v>
      </c>
      <c r="F55" s="1"/>
      <c r="G55" s="1"/>
    </row>
    <row r="56" spans="1:7" x14ac:dyDescent="0.3">
      <c r="A56" s="46" t="s">
        <v>75</v>
      </c>
      <c r="B56" s="1" t="s">
        <v>69</v>
      </c>
      <c r="C56" s="1" t="s">
        <v>273</v>
      </c>
      <c r="D56" s="1">
        <v>1</v>
      </c>
      <c r="E56" s="1">
        <v>1</v>
      </c>
      <c r="F56" s="1"/>
      <c r="G56" s="1"/>
    </row>
    <row r="57" spans="1:7" x14ac:dyDescent="0.3">
      <c r="A57" s="48"/>
      <c r="B57" s="1" t="s">
        <v>274</v>
      </c>
      <c r="C57" s="1" t="s">
        <v>275</v>
      </c>
      <c r="D57" s="1">
        <v>1</v>
      </c>
      <c r="E57" s="1">
        <v>1</v>
      </c>
      <c r="F57" s="1"/>
      <c r="G57" s="1"/>
    </row>
    <row r="58" spans="1:7" x14ac:dyDescent="0.3">
      <c r="A58" s="48"/>
      <c r="B58" s="1" t="s">
        <v>70</v>
      </c>
      <c r="C58" s="1" t="s">
        <v>276</v>
      </c>
      <c r="D58" s="1">
        <v>1</v>
      </c>
      <c r="E58" s="1">
        <v>1</v>
      </c>
      <c r="F58" s="1"/>
      <c r="G58" s="1"/>
    </row>
    <row r="59" spans="1:7" x14ac:dyDescent="0.3">
      <c r="A59" s="48"/>
      <c r="B59" s="1" t="s">
        <v>71</v>
      </c>
      <c r="C59" s="1" t="s">
        <v>277</v>
      </c>
      <c r="D59" s="1">
        <v>1</v>
      </c>
      <c r="E59" s="1">
        <v>1</v>
      </c>
      <c r="F59" s="1"/>
      <c r="G59" s="1"/>
    </row>
    <row r="60" spans="1:7" x14ac:dyDescent="0.3">
      <c r="A60" s="48"/>
      <c r="B60" s="1" t="s">
        <v>278</v>
      </c>
      <c r="C60" s="1" t="s">
        <v>279</v>
      </c>
      <c r="D60" s="1">
        <v>1</v>
      </c>
      <c r="E60" s="1">
        <v>1</v>
      </c>
      <c r="F60" s="1"/>
      <c r="G60" s="1"/>
    </row>
    <row r="61" spans="1:7" x14ac:dyDescent="0.3">
      <c r="A61" s="47"/>
      <c r="B61" s="1" t="s">
        <v>72</v>
      </c>
      <c r="C61" s="1" t="s">
        <v>280</v>
      </c>
      <c r="D61" s="1">
        <v>1</v>
      </c>
      <c r="E61" s="1">
        <v>1</v>
      </c>
      <c r="F61" s="1"/>
      <c r="G61" s="1"/>
    </row>
    <row r="62" spans="1:7" x14ac:dyDescent="0.3">
      <c r="D62" s="6">
        <f>SUM(D3:D61)</f>
        <v>59</v>
      </c>
      <c r="E62">
        <f>SUM(E3:E61)</f>
        <v>59</v>
      </c>
    </row>
    <row r="64" spans="1:7" x14ac:dyDescent="0.3">
      <c r="A64" s="6" t="s">
        <v>325</v>
      </c>
    </row>
    <row r="65" spans="1:7" x14ac:dyDescent="0.3">
      <c r="A65" s="46" t="s">
        <v>76</v>
      </c>
      <c r="B65" s="1" t="s">
        <v>77</v>
      </c>
      <c r="C65" s="1" t="s">
        <v>281</v>
      </c>
      <c r="D65" s="1"/>
      <c r="E65" s="1"/>
      <c r="F65" s="1"/>
    </row>
    <row r="66" spans="1:7" x14ac:dyDescent="0.3">
      <c r="A66" s="48"/>
      <c r="B66" s="1" t="s">
        <v>78</v>
      </c>
      <c r="C66" s="1"/>
      <c r="D66" s="1">
        <v>1</v>
      </c>
      <c r="E66" s="1">
        <v>1</v>
      </c>
      <c r="F66" s="1"/>
      <c r="G66" s="1"/>
    </row>
    <row r="67" spans="1:7" x14ac:dyDescent="0.3">
      <c r="A67" s="48"/>
      <c r="B67" s="1" t="s">
        <v>79</v>
      </c>
      <c r="C67" s="1"/>
      <c r="D67" s="1">
        <v>1</v>
      </c>
      <c r="E67" s="1">
        <v>1</v>
      </c>
      <c r="F67" s="1"/>
      <c r="G67" s="1"/>
    </row>
    <row r="68" spans="1:7" x14ac:dyDescent="0.3">
      <c r="A68" s="48"/>
      <c r="B68" s="1" t="s">
        <v>80</v>
      </c>
      <c r="C68" s="1"/>
      <c r="D68" s="1">
        <v>1</v>
      </c>
      <c r="E68" s="1">
        <v>1</v>
      </c>
      <c r="F68" s="1"/>
      <c r="G68" s="1"/>
    </row>
    <row r="69" spans="1:7" x14ac:dyDescent="0.3">
      <c r="A69" s="47"/>
      <c r="B69" s="1" t="s">
        <v>81</v>
      </c>
      <c r="C69" s="1"/>
      <c r="D69" s="1">
        <v>1</v>
      </c>
      <c r="E69" s="1">
        <v>1</v>
      </c>
      <c r="F69" s="1"/>
      <c r="G69" s="1"/>
    </row>
    <row r="70" spans="1:7" x14ac:dyDescent="0.3">
      <c r="A70" s="5"/>
      <c r="D70" s="6">
        <f>SUM(D66:D69)</f>
        <v>4</v>
      </c>
      <c r="E70">
        <f>SUM(E66:E69)</f>
        <v>4</v>
      </c>
    </row>
    <row r="72" spans="1:7" x14ac:dyDescent="0.3">
      <c r="A72" s="6" t="s">
        <v>83</v>
      </c>
    </row>
    <row r="73" spans="1:7" x14ac:dyDescent="0.3">
      <c r="A73" s="4" t="s">
        <v>82</v>
      </c>
      <c r="B73" s="1" t="s">
        <v>376</v>
      </c>
      <c r="C73" s="1" t="s">
        <v>381</v>
      </c>
      <c r="D73" s="1">
        <v>1</v>
      </c>
      <c r="E73" s="1">
        <v>1</v>
      </c>
      <c r="F73" s="1"/>
      <c r="G73" s="1"/>
    </row>
    <row r="74" spans="1:7" x14ac:dyDescent="0.3">
      <c r="A74" s="4"/>
      <c r="B74" s="1"/>
      <c r="C74" s="1" t="s">
        <v>382</v>
      </c>
      <c r="D74" s="1"/>
      <c r="E74" s="1"/>
      <c r="F74" s="1"/>
      <c r="G74" s="1"/>
    </row>
    <row r="75" spans="1:7" x14ac:dyDescent="0.3">
      <c r="A75" s="4"/>
      <c r="B75" s="1" t="s">
        <v>377</v>
      </c>
      <c r="C75" s="1" t="s">
        <v>383</v>
      </c>
      <c r="D75" s="1"/>
      <c r="E75" s="1"/>
      <c r="F75" s="1"/>
      <c r="G75" s="1"/>
    </row>
    <row r="76" spans="1:7" x14ac:dyDescent="0.3">
      <c r="A76" s="4"/>
      <c r="B76" s="1"/>
      <c r="C76" s="1" t="s">
        <v>384</v>
      </c>
      <c r="D76" s="1"/>
      <c r="E76" s="1"/>
      <c r="F76" s="1"/>
      <c r="G76" s="1"/>
    </row>
    <row r="77" spans="1:7" x14ac:dyDescent="0.3">
      <c r="A77" s="4"/>
      <c r="B77" s="1"/>
      <c r="C77" s="1" t="s">
        <v>385</v>
      </c>
      <c r="D77" s="1"/>
      <c r="E77" s="1"/>
      <c r="F77" s="1"/>
      <c r="G77" s="1"/>
    </row>
    <row r="78" spans="1:7" x14ac:dyDescent="0.3">
      <c r="A78" s="4"/>
      <c r="B78" s="1" t="s">
        <v>378</v>
      </c>
      <c r="C78" s="1" t="s">
        <v>386</v>
      </c>
      <c r="D78" s="1"/>
      <c r="E78" s="1"/>
      <c r="F78" s="1"/>
      <c r="G78" s="1"/>
    </row>
    <row r="79" spans="1:7" x14ac:dyDescent="0.3">
      <c r="A79" s="4"/>
      <c r="B79" s="1"/>
      <c r="C79" s="1" t="s">
        <v>387</v>
      </c>
      <c r="D79" s="1"/>
      <c r="E79" s="1"/>
      <c r="F79" s="1"/>
      <c r="G79" s="1"/>
    </row>
    <row r="80" spans="1:7" x14ac:dyDescent="0.3">
      <c r="A80" s="4"/>
      <c r="B80" s="1"/>
      <c r="C80" s="1" t="s">
        <v>388</v>
      </c>
      <c r="D80" s="1"/>
      <c r="E80" s="1"/>
      <c r="F80" s="1"/>
      <c r="G80" s="1"/>
    </row>
    <row r="81" spans="1:7" x14ac:dyDescent="0.3">
      <c r="A81" s="4"/>
      <c r="B81" s="1" t="s">
        <v>379</v>
      </c>
      <c r="C81" s="1" t="s">
        <v>389</v>
      </c>
      <c r="D81" s="1"/>
      <c r="E81" s="1"/>
      <c r="F81" s="1"/>
      <c r="G81" s="1"/>
    </row>
    <row r="82" spans="1:7" x14ac:dyDescent="0.3">
      <c r="A82" s="4"/>
      <c r="B82" s="1"/>
      <c r="C82" s="1" t="s">
        <v>390</v>
      </c>
      <c r="D82" s="1"/>
      <c r="E82" s="1"/>
      <c r="F82" s="1"/>
      <c r="G82" s="1"/>
    </row>
    <row r="83" spans="1:7" x14ac:dyDescent="0.3">
      <c r="A83" s="4"/>
      <c r="B83" s="1"/>
      <c r="C83" s="1" t="s">
        <v>391</v>
      </c>
      <c r="D83" s="1"/>
      <c r="E83" s="1"/>
      <c r="F83" s="1"/>
      <c r="G83" s="1"/>
    </row>
    <row r="84" spans="1:7" x14ac:dyDescent="0.3">
      <c r="A84" s="4"/>
      <c r="B84" s="1" t="s">
        <v>380</v>
      </c>
      <c r="C84" s="1" t="s">
        <v>392</v>
      </c>
      <c r="D84" s="1"/>
      <c r="E84" s="1"/>
      <c r="F84" s="1"/>
      <c r="G84" s="1"/>
    </row>
    <row r="85" spans="1:7" x14ac:dyDescent="0.3">
      <c r="A85" s="4"/>
      <c r="B85" s="1"/>
      <c r="C85" s="1" t="s">
        <v>393</v>
      </c>
      <c r="D85" s="1"/>
      <c r="E85" s="1"/>
      <c r="F85" s="1"/>
      <c r="G85" s="1"/>
    </row>
    <row r="86" spans="1:7" x14ac:dyDescent="0.3">
      <c r="A86" s="4"/>
      <c r="B86" s="1"/>
      <c r="C86" s="1" t="s">
        <v>394</v>
      </c>
      <c r="D86" s="1"/>
      <c r="E86" s="1"/>
      <c r="F86" s="1"/>
      <c r="G86" s="1"/>
    </row>
    <row r="87" spans="1:7" x14ac:dyDescent="0.3">
      <c r="A87" s="4"/>
      <c r="B87" s="1"/>
      <c r="C87" s="1" t="s">
        <v>395</v>
      </c>
      <c r="D87" s="1"/>
      <c r="E87" s="1"/>
      <c r="F87" s="1"/>
      <c r="G87" s="1"/>
    </row>
    <row r="88" spans="1:7" x14ac:dyDescent="0.3">
      <c r="A88" s="4"/>
      <c r="B88" s="1"/>
      <c r="C88" s="1" t="s">
        <v>396</v>
      </c>
      <c r="D88" s="1"/>
      <c r="E88" s="1"/>
      <c r="F88" s="1"/>
      <c r="G88" s="1"/>
    </row>
    <row r="89" spans="1:7" x14ac:dyDescent="0.3">
      <c r="A89" s="4"/>
      <c r="B89" s="1"/>
      <c r="C89" s="1" t="s">
        <v>397</v>
      </c>
      <c r="D89" s="1"/>
      <c r="E89" s="1"/>
      <c r="F89" s="1"/>
      <c r="G89" s="1"/>
    </row>
    <row r="90" spans="1:7" x14ac:dyDescent="0.3">
      <c r="A90" s="5"/>
    </row>
    <row r="92" spans="1:7" x14ac:dyDescent="0.3">
      <c r="A92" s="6" t="s">
        <v>84</v>
      </c>
    </row>
    <row r="93" spans="1:7" x14ac:dyDescent="0.3">
      <c r="A93" s="46" t="s">
        <v>85</v>
      </c>
      <c r="B93" s="1" t="s">
        <v>62</v>
      </c>
      <c r="C93" s="1"/>
      <c r="D93" s="1">
        <v>1</v>
      </c>
      <c r="E93" s="1">
        <v>1</v>
      </c>
      <c r="F93" s="1"/>
      <c r="G93" s="1"/>
    </row>
    <row r="94" spans="1:7" x14ac:dyDescent="0.3">
      <c r="A94" s="48"/>
      <c r="B94" s="1" t="s">
        <v>86</v>
      </c>
      <c r="C94" s="1"/>
      <c r="D94" s="1">
        <v>1</v>
      </c>
      <c r="E94" s="1">
        <v>1</v>
      </c>
      <c r="F94" s="1"/>
      <c r="G94" s="1"/>
    </row>
    <row r="95" spans="1:7" x14ac:dyDescent="0.3">
      <c r="A95" s="47"/>
      <c r="B95" s="1" t="s">
        <v>87</v>
      </c>
      <c r="C95" s="1"/>
      <c r="D95" s="1">
        <v>1</v>
      </c>
      <c r="E95" s="1">
        <v>1</v>
      </c>
      <c r="F95" s="1"/>
      <c r="G95" s="1"/>
    </row>
    <row r="96" spans="1:7" x14ac:dyDescent="0.3">
      <c r="A96" s="46" t="s">
        <v>95</v>
      </c>
      <c r="B96" s="1" t="s">
        <v>88</v>
      </c>
      <c r="C96" s="1"/>
      <c r="D96" s="1">
        <v>1</v>
      </c>
      <c r="E96" s="1">
        <v>1</v>
      </c>
      <c r="F96" s="1"/>
      <c r="G96" s="1"/>
    </row>
    <row r="97" spans="1:7" x14ac:dyDescent="0.3">
      <c r="A97" s="48"/>
      <c r="B97" s="1" t="s">
        <v>89</v>
      </c>
      <c r="C97" s="1"/>
      <c r="D97" s="1">
        <v>1</v>
      </c>
      <c r="E97" s="1">
        <v>1</v>
      </c>
      <c r="F97" s="1"/>
      <c r="G97" s="1"/>
    </row>
    <row r="98" spans="1:7" x14ac:dyDescent="0.3">
      <c r="A98" s="48"/>
      <c r="B98" s="1" t="s">
        <v>90</v>
      </c>
      <c r="C98" s="1"/>
      <c r="D98" s="1">
        <v>1</v>
      </c>
      <c r="E98" s="1">
        <v>1</v>
      </c>
      <c r="F98" s="1"/>
      <c r="G98" s="1"/>
    </row>
    <row r="99" spans="1:7" x14ac:dyDescent="0.3">
      <c r="A99" s="47"/>
      <c r="B99" s="1" t="s">
        <v>91</v>
      </c>
      <c r="C99" s="1"/>
      <c r="D99" s="1">
        <v>1</v>
      </c>
      <c r="E99" s="1">
        <v>1</v>
      </c>
      <c r="F99" s="1"/>
      <c r="G99" s="1"/>
    </row>
    <row r="100" spans="1:7" x14ac:dyDescent="0.3">
      <c r="A100" s="46" t="s">
        <v>96</v>
      </c>
      <c r="B100" s="1" t="s">
        <v>92</v>
      </c>
      <c r="C100" s="1"/>
      <c r="D100" s="1">
        <v>1</v>
      </c>
      <c r="E100" s="1">
        <v>1</v>
      </c>
      <c r="F100" s="1"/>
      <c r="G100" s="1"/>
    </row>
    <row r="101" spans="1:7" x14ac:dyDescent="0.3">
      <c r="A101" s="48"/>
      <c r="B101" s="1" t="s">
        <v>93</v>
      </c>
      <c r="C101" s="1"/>
      <c r="D101" s="1">
        <v>1</v>
      </c>
      <c r="E101" s="1">
        <v>1</v>
      </c>
      <c r="F101" s="1"/>
      <c r="G101" s="1"/>
    </row>
    <row r="102" spans="1:7" x14ac:dyDescent="0.3">
      <c r="A102" s="47"/>
      <c r="B102" s="1" t="s">
        <v>94</v>
      </c>
      <c r="C102" s="1"/>
      <c r="D102" s="1">
        <v>1</v>
      </c>
      <c r="E102" s="1">
        <v>1</v>
      </c>
      <c r="F102" s="1"/>
      <c r="G102" s="1"/>
    </row>
    <row r="103" spans="1:7" x14ac:dyDescent="0.3">
      <c r="D103" s="6">
        <f>SUM(D93:D102)</f>
        <v>10</v>
      </c>
      <c r="E103">
        <f>SUM(E93:E102)</f>
        <v>10</v>
      </c>
    </row>
    <row r="105" spans="1:7" x14ac:dyDescent="0.3">
      <c r="A105" s="6" t="s">
        <v>97</v>
      </c>
    </row>
    <row r="106" spans="1:7" x14ac:dyDescent="0.3">
      <c r="A106" s="46" t="s">
        <v>98</v>
      </c>
      <c r="B106" s="1" t="s">
        <v>99</v>
      </c>
      <c r="C106" s="1"/>
      <c r="D106" s="1">
        <v>1</v>
      </c>
      <c r="E106" s="7">
        <v>1</v>
      </c>
      <c r="F106" s="7"/>
      <c r="G106" s="1"/>
    </row>
    <row r="107" spans="1:7" x14ac:dyDescent="0.3">
      <c r="A107" s="48"/>
      <c r="B107" s="1" t="s">
        <v>100</v>
      </c>
      <c r="C107" s="1"/>
      <c r="D107" s="1">
        <v>1</v>
      </c>
      <c r="E107" s="7">
        <v>1</v>
      </c>
      <c r="F107" s="7"/>
      <c r="G107" s="1"/>
    </row>
    <row r="108" spans="1:7" x14ac:dyDescent="0.3">
      <c r="A108" s="48"/>
      <c r="B108" s="1" t="s">
        <v>101</v>
      </c>
      <c r="C108" s="1"/>
      <c r="D108" s="1">
        <v>1</v>
      </c>
      <c r="E108" s="7">
        <v>1</v>
      </c>
      <c r="F108" s="7"/>
      <c r="G108" s="1"/>
    </row>
    <row r="109" spans="1:7" x14ac:dyDescent="0.3">
      <c r="A109" s="48"/>
      <c r="B109" s="1" t="s">
        <v>102</v>
      </c>
      <c r="C109" s="1"/>
      <c r="D109" s="1">
        <v>1</v>
      </c>
      <c r="E109" s="7">
        <v>1</v>
      </c>
      <c r="F109" s="7"/>
      <c r="G109" s="1"/>
    </row>
    <row r="110" spans="1:7" x14ac:dyDescent="0.3">
      <c r="A110" s="47"/>
      <c r="B110" s="1" t="s">
        <v>103</v>
      </c>
      <c r="C110" s="1"/>
      <c r="D110" s="1">
        <v>1</v>
      </c>
      <c r="E110" s="7">
        <v>1</v>
      </c>
      <c r="F110" s="7"/>
      <c r="G110" s="1"/>
    </row>
    <row r="111" spans="1:7" x14ac:dyDescent="0.3">
      <c r="A111" s="4" t="s">
        <v>104</v>
      </c>
      <c r="B111" s="1" t="s">
        <v>104</v>
      </c>
      <c r="C111" s="1"/>
      <c r="D111" s="1">
        <v>1</v>
      </c>
      <c r="E111" s="7">
        <v>1</v>
      </c>
      <c r="F111" s="7"/>
      <c r="G111" s="1"/>
    </row>
    <row r="112" spans="1:7" x14ac:dyDescent="0.3">
      <c r="A112" s="49" t="s">
        <v>105</v>
      </c>
      <c r="B112" s="1" t="s">
        <v>106</v>
      </c>
      <c r="C112" s="1"/>
      <c r="D112" s="1">
        <v>1</v>
      </c>
      <c r="E112" s="7">
        <v>1</v>
      </c>
      <c r="F112" s="7"/>
      <c r="G112" s="1"/>
    </row>
    <row r="113" spans="1:7" x14ac:dyDescent="0.3">
      <c r="A113" s="49"/>
      <c r="B113" s="1" t="s">
        <v>107</v>
      </c>
      <c r="C113" s="1"/>
      <c r="D113" s="1">
        <v>1</v>
      </c>
      <c r="E113" s="7">
        <v>1</v>
      </c>
      <c r="F113" s="7"/>
      <c r="G113" s="1"/>
    </row>
    <row r="114" spans="1:7" x14ac:dyDescent="0.3">
      <c r="A114" s="49"/>
      <c r="B114" s="1" t="s">
        <v>108</v>
      </c>
      <c r="C114" s="1"/>
      <c r="D114" s="1">
        <v>1</v>
      </c>
      <c r="E114" s="7">
        <v>1</v>
      </c>
      <c r="F114" s="7"/>
      <c r="G114" s="1"/>
    </row>
    <row r="115" spans="1:7" x14ac:dyDescent="0.3">
      <c r="A115" s="49"/>
      <c r="B115" s="1" t="s">
        <v>109</v>
      </c>
      <c r="C115" s="1"/>
      <c r="D115" s="1">
        <v>1</v>
      </c>
      <c r="E115" s="7">
        <v>1</v>
      </c>
      <c r="F115" s="7"/>
      <c r="G115" s="1"/>
    </row>
    <row r="116" spans="1:7" x14ac:dyDescent="0.3">
      <c r="A116" s="49"/>
      <c r="B116" s="1" t="s">
        <v>110</v>
      </c>
      <c r="C116" s="1"/>
      <c r="D116" s="1">
        <v>1</v>
      </c>
      <c r="E116" s="7">
        <v>1</v>
      </c>
      <c r="F116" s="7"/>
      <c r="G116" s="1"/>
    </row>
    <row r="117" spans="1:7" x14ac:dyDescent="0.3">
      <c r="A117" s="49"/>
      <c r="B117" s="1" t="s">
        <v>111</v>
      </c>
      <c r="C117" s="1"/>
      <c r="D117" s="1">
        <v>1</v>
      </c>
      <c r="E117" s="7">
        <v>1</v>
      </c>
      <c r="F117" s="7"/>
      <c r="G117" s="1"/>
    </row>
    <row r="118" spans="1:7" x14ac:dyDescent="0.3">
      <c r="A118" s="49"/>
      <c r="B118" s="1" t="s">
        <v>112</v>
      </c>
      <c r="C118" s="1"/>
      <c r="D118" s="1">
        <v>1</v>
      </c>
      <c r="E118" s="7">
        <v>1</v>
      </c>
      <c r="F118" s="7"/>
      <c r="G118" s="1"/>
    </row>
    <row r="119" spans="1:7" x14ac:dyDescent="0.3">
      <c r="A119" s="49"/>
      <c r="B119" s="1" t="s">
        <v>113</v>
      </c>
      <c r="C119" s="1"/>
      <c r="D119" s="1">
        <v>1</v>
      </c>
      <c r="E119" s="7">
        <v>1</v>
      </c>
      <c r="F119" s="7"/>
      <c r="G119" s="1"/>
    </row>
    <row r="120" spans="1:7" x14ac:dyDescent="0.3">
      <c r="A120" s="49"/>
      <c r="B120" s="1" t="s">
        <v>114</v>
      </c>
      <c r="C120" s="1"/>
      <c r="D120" s="1">
        <v>1</v>
      </c>
      <c r="E120" s="7">
        <v>1</v>
      </c>
      <c r="F120" s="7"/>
      <c r="G120" s="1"/>
    </row>
    <row r="121" spans="1:7" x14ac:dyDescent="0.3">
      <c r="A121" s="49"/>
      <c r="B121" s="1" t="s">
        <v>115</v>
      </c>
      <c r="C121" s="1"/>
      <c r="D121" s="1">
        <v>1</v>
      </c>
      <c r="E121" s="7">
        <v>1</v>
      </c>
      <c r="F121" s="7"/>
      <c r="G121" s="1"/>
    </row>
    <row r="122" spans="1:7" x14ac:dyDescent="0.3">
      <c r="A122" s="49"/>
      <c r="B122" s="1" t="s">
        <v>116</v>
      </c>
      <c r="C122" s="1"/>
      <c r="D122" s="1">
        <v>1</v>
      </c>
      <c r="E122" s="7">
        <v>1</v>
      </c>
      <c r="F122" s="7"/>
      <c r="G122" s="1"/>
    </row>
    <row r="123" spans="1:7" x14ac:dyDescent="0.3">
      <c r="A123" s="49"/>
      <c r="B123" s="1" t="s">
        <v>117</v>
      </c>
      <c r="C123" s="1"/>
      <c r="D123" s="1">
        <v>1</v>
      </c>
      <c r="E123" s="7">
        <v>1</v>
      </c>
      <c r="F123" s="7"/>
      <c r="G123" s="1"/>
    </row>
    <row r="124" spans="1:7" x14ac:dyDescent="0.3">
      <c r="A124" s="49"/>
      <c r="B124" s="1" t="s">
        <v>118</v>
      </c>
      <c r="C124" s="1"/>
      <c r="D124" s="1">
        <v>1</v>
      </c>
      <c r="E124" s="7">
        <v>1</v>
      </c>
      <c r="F124" s="7"/>
      <c r="G124" s="1"/>
    </row>
    <row r="125" spans="1:7" x14ac:dyDescent="0.3">
      <c r="A125" s="49"/>
      <c r="B125" s="1" t="s">
        <v>119</v>
      </c>
      <c r="C125" s="1"/>
      <c r="D125" s="1">
        <v>1</v>
      </c>
      <c r="E125" s="7">
        <v>1</v>
      </c>
      <c r="F125" s="7"/>
      <c r="G125" s="1"/>
    </row>
    <row r="126" spans="1:7" x14ac:dyDescent="0.3">
      <c r="A126" s="46" t="s">
        <v>123</v>
      </c>
      <c r="B126" s="1" t="s">
        <v>120</v>
      </c>
      <c r="C126" s="1"/>
      <c r="D126" s="1">
        <v>1</v>
      </c>
      <c r="E126" s="7">
        <v>1</v>
      </c>
      <c r="F126" s="7"/>
      <c r="G126" s="1"/>
    </row>
    <row r="127" spans="1:7" x14ac:dyDescent="0.3">
      <c r="A127" s="48"/>
      <c r="B127" s="1" t="s">
        <v>121</v>
      </c>
      <c r="C127" s="1"/>
      <c r="D127" s="1">
        <v>1</v>
      </c>
      <c r="E127" s="7">
        <v>1</v>
      </c>
      <c r="F127" s="7"/>
      <c r="G127" s="1"/>
    </row>
    <row r="128" spans="1:7" x14ac:dyDescent="0.3">
      <c r="A128" s="47"/>
      <c r="B128" s="1" t="s">
        <v>122</v>
      </c>
      <c r="C128" s="1"/>
      <c r="D128" s="1">
        <v>1</v>
      </c>
      <c r="E128" s="7">
        <v>1</v>
      </c>
      <c r="F128" s="7"/>
      <c r="G128" s="1"/>
    </row>
    <row r="129" spans="1:7" x14ac:dyDescent="0.3">
      <c r="A129" s="46" t="s">
        <v>124</v>
      </c>
      <c r="B129" s="1" t="s">
        <v>125</v>
      </c>
      <c r="C129" s="1"/>
      <c r="D129" s="1">
        <v>1</v>
      </c>
      <c r="E129" s="7">
        <v>1</v>
      </c>
      <c r="F129" s="7"/>
      <c r="G129" s="1"/>
    </row>
    <row r="130" spans="1:7" x14ac:dyDescent="0.3">
      <c r="A130" s="48"/>
      <c r="B130" s="1" t="s">
        <v>126</v>
      </c>
      <c r="C130" s="1"/>
      <c r="D130" s="1">
        <v>1</v>
      </c>
      <c r="E130" s="7">
        <v>1</v>
      </c>
      <c r="F130" s="7"/>
      <c r="G130" s="1"/>
    </row>
    <row r="131" spans="1:7" x14ac:dyDescent="0.3">
      <c r="A131" s="48"/>
      <c r="B131" s="1" t="s">
        <v>127</v>
      </c>
      <c r="C131" s="1"/>
      <c r="D131" s="1">
        <v>1</v>
      </c>
      <c r="E131" s="7">
        <v>1</v>
      </c>
      <c r="F131" s="7"/>
      <c r="G131" s="1"/>
    </row>
    <row r="132" spans="1:7" x14ac:dyDescent="0.3">
      <c r="A132" s="48"/>
      <c r="B132" s="1" t="s">
        <v>128</v>
      </c>
      <c r="C132" s="1"/>
      <c r="D132" s="1">
        <v>1</v>
      </c>
      <c r="E132" s="7">
        <v>1</v>
      </c>
      <c r="F132" s="7"/>
      <c r="G132" s="1"/>
    </row>
    <row r="133" spans="1:7" x14ac:dyDescent="0.3">
      <c r="A133" s="48"/>
      <c r="B133" s="1" t="s">
        <v>129</v>
      </c>
      <c r="C133" s="1"/>
      <c r="D133" s="1">
        <v>1</v>
      </c>
      <c r="E133" s="7">
        <v>1</v>
      </c>
      <c r="F133" s="7"/>
      <c r="G133" s="1"/>
    </row>
    <row r="134" spans="1:7" x14ac:dyDescent="0.3">
      <c r="A134" s="47"/>
      <c r="B134" s="1" t="s">
        <v>130</v>
      </c>
      <c r="C134" s="1"/>
      <c r="D134" s="1">
        <v>1</v>
      </c>
      <c r="E134" s="7">
        <v>1</v>
      </c>
      <c r="F134" s="7"/>
      <c r="G134" s="1"/>
    </row>
    <row r="135" spans="1:7" x14ac:dyDescent="0.3">
      <c r="A135" s="46" t="s">
        <v>131</v>
      </c>
      <c r="B135" s="1" t="s">
        <v>132</v>
      </c>
      <c r="C135" s="1"/>
      <c r="D135" s="1">
        <v>1</v>
      </c>
      <c r="E135" s="7">
        <v>1</v>
      </c>
      <c r="F135" s="7"/>
      <c r="G135" s="1"/>
    </row>
    <row r="136" spans="1:7" x14ac:dyDescent="0.3">
      <c r="A136" s="48"/>
      <c r="B136" s="1" t="s">
        <v>133</v>
      </c>
      <c r="C136" s="1"/>
      <c r="D136" s="1">
        <v>1</v>
      </c>
      <c r="E136" s="7">
        <v>1</v>
      </c>
      <c r="F136" s="7"/>
      <c r="G136" s="1"/>
    </row>
    <row r="137" spans="1:7" x14ac:dyDescent="0.3">
      <c r="A137" s="48"/>
      <c r="B137" s="1" t="s">
        <v>134</v>
      </c>
      <c r="C137" s="1"/>
      <c r="D137" s="1">
        <v>1</v>
      </c>
      <c r="E137" s="7">
        <v>1</v>
      </c>
      <c r="F137" s="7"/>
      <c r="G137" s="1"/>
    </row>
    <row r="138" spans="1:7" x14ac:dyDescent="0.3">
      <c r="A138" s="48"/>
      <c r="B138" s="1" t="s">
        <v>135</v>
      </c>
      <c r="C138" s="1"/>
      <c r="D138" s="1">
        <v>1</v>
      </c>
      <c r="E138" s="7">
        <v>1</v>
      </c>
      <c r="F138" s="7"/>
      <c r="G138" s="1"/>
    </row>
    <row r="139" spans="1:7" x14ac:dyDescent="0.3">
      <c r="A139" s="48"/>
      <c r="B139" s="1" t="s">
        <v>136</v>
      </c>
      <c r="C139" s="1"/>
      <c r="D139" s="1">
        <v>1</v>
      </c>
      <c r="E139" s="7">
        <v>1</v>
      </c>
      <c r="F139" s="7"/>
      <c r="G139" s="1"/>
    </row>
    <row r="140" spans="1:7" x14ac:dyDescent="0.3">
      <c r="A140" s="47"/>
      <c r="B140" s="1" t="s">
        <v>137</v>
      </c>
      <c r="C140" s="1"/>
      <c r="D140" s="1">
        <v>1</v>
      </c>
      <c r="E140" s="7">
        <v>1</v>
      </c>
      <c r="F140" s="7"/>
      <c r="G140" s="1"/>
    </row>
    <row r="141" spans="1:7" x14ac:dyDescent="0.3">
      <c r="A141" s="46" t="s">
        <v>138</v>
      </c>
      <c r="B141" s="1" t="s">
        <v>139</v>
      </c>
      <c r="C141" s="1"/>
      <c r="D141" s="1">
        <v>1</v>
      </c>
      <c r="E141" s="7">
        <v>1</v>
      </c>
      <c r="F141" s="7"/>
      <c r="G141" s="1"/>
    </row>
    <row r="142" spans="1:7" x14ac:dyDescent="0.3">
      <c r="A142" s="48"/>
      <c r="B142" s="1" t="s">
        <v>140</v>
      </c>
      <c r="C142" s="1"/>
      <c r="D142" s="1">
        <v>1</v>
      </c>
      <c r="E142" s="7">
        <v>1</v>
      </c>
      <c r="F142" s="7"/>
      <c r="G142" s="1"/>
    </row>
    <row r="143" spans="1:7" x14ac:dyDescent="0.3">
      <c r="A143" s="48"/>
      <c r="B143" s="1" t="s">
        <v>141</v>
      </c>
      <c r="C143" s="1"/>
      <c r="D143" s="1">
        <v>1</v>
      </c>
      <c r="E143" s="7">
        <v>1</v>
      </c>
      <c r="F143" s="7"/>
      <c r="G143" s="1"/>
    </row>
    <row r="144" spans="1:7" x14ac:dyDescent="0.3">
      <c r="A144" s="47"/>
      <c r="B144" s="1" t="s">
        <v>142</v>
      </c>
      <c r="C144" s="1"/>
      <c r="D144" s="1">
        <v>1</v>
      </c>
      <c r="E144" s="7">
        <v>1</v>
      </c>
      <c r="F144" s="7"/>
      <c r="G144" s="1"/>
    </row>
    <row r="145" spans="1:7" x14ac:dyDescent="0.3">
      <c r="A145" s="46" t="s">
        <v>143</v>
      </c>
      <c r="B145" s="1" t="s">
        <v>144</v>
      </c>
      <c r="C145" s="1"/>
      <c r="D145" s="1">
        <v>1</v>
      </c>
      <c r="E145" s="7">
        <v>1</v>
      </c>
      <c r="F145" s="7"/>
      <c r="G145" s="1"/>
    </row>
    <row r="146" spans="1:7" x14ac:dyDescent="0.3">
      <c r="A146" s="48"/>
      <c r="B146" s="1" t="s">
        <v>145</v>
      </c>
      <c r="C146" s="1"/>
      <c r="D146" s="1">
        <v>1</v>
      </c>
      <c r="E146" s="7">
        <v>1</v>
      </c>
      <c r="F146" s="7"/>
      <c r="G146" s="1"/>
    </row>
    <row r="147" spans="1:7" x14ac:dyDescent="0.3">
      <c r="A147" s="48"/>
      <c r="B147" s="1" t="s">
        <v>146</v>
      </c>
      <c r="C147" s="1"/>
      <c r="D147" s="1">
        <v>1</v>
      </c>
      <c r="E147" s="7">
        <v>1</v>
      </c>
      <c r="F147" s="7"/>
      <c r="G147" s="1"/>
    </row>
    <row r="148" spans="1:7" x14ac:dyDescent="0.3">
      <c r="A148" s="47"/>
      <c r="B148" s="1" t="s">
        <v>147</v>
      </c>
      <c r="C148" s="1"/>
      <c r="D148" s="1">
        <v>1</v>
      </c>
      <c r="E148" s="7">
        <v>1</v>
      </c>
      <c r="F148" s="7"/>
      <c r="G148" s="1"/>
    </row>
    <row r="149" spans="1:7" x14ac:dyDescent="0.3">
      <c r="A149" s="46" t="s">
        <v>148</v>
      </c>
      <c r="B149" s="1" t="s">
        <v>149</v>
      </c>
      <c r="C149" s="1"/>
      <c r="D149" s="1">
        <v>1</v>
      </c>
      <c r="E149" s="7">
        <v>1</v>
      </c>
      <c r="F149" s="7"/>
      <c r="G149" s="1"/>
    </row>
    <row r="150" spans="1:7" x14ac:dyDescent="0.3">
      <c r="A150" s="48"/>
      <c r="B150" s="1" t="s">
        <v>150</v>
      </c>
      <c r="C150" s="1"/>
      <c r="D150" s="1">
        <v>1</v>
      </c>
      <c r="E150" s="7">
        <v>1</v>
      </c>
      <c r="F150" s="7"/>
      <c r="G150" s="1"/>
    </row>
    <row r="151" spans="1:7" x14ac:dyDescent="0.3">
      <c r="A151" s="48"/>
      <c r="B151" s="1" t="s">
        <v>151</v>
      </c>
      <c r="C151" s="1"/>
      <c r="D151" s="1">
        <v>1</v>
      </c>
      <c r="E151" s="7">
        <v>1</v>
      </c>
      <c r="F151" s="7"/>
      <c r="G151" s="1"/>
    </row>
    <row r="152" spans="1:7" x14ac:dyDescent="0.3">
      <c r="A152" s="47"/>
      <c r="B152" s="1" t="s">
        <v>152</v>
      </c>
      <c r="C152" s="1"/>
      <c r="D152" s="1">
        <v>1</v>
      </c>
      <c r="E152" s="7">
        <v>1</v>
      </c>
      <c r="F152" s="7"/>
      <c r="G152" s="1"/>
    </row>
    <row r="153" spans="1:7" x14ac:dyDescent="0.3">
      <c r="A153" s="46" t="s">
        <v>153</v>
      </c>
      <c r="B153" s="1" t="s">
        <v>154</v>
      </c>
      <c r="C153" s="1"/>
      <c r="D153" s="1">
        <v>1</v>
      </c>
      <c r="E153" s="7">
        <v>1</v>
      </c>
      <c r="F153" s="7"/>
      <c r="G153" s="1"/>
    </row>
    <row r="154" spans="1:7" x14ac:dyDescent="0.3">
      <c r="A154" s="48"/>
      <c r="B154" s="1" t="s">
        <v>155</v>
      </c>
      <c r="C154" s="1"/>
      <c r="D154" s="1">
        <v>1</v>
      </c>
      <c r="E154" s="7">
        <v>1</v>
      </c>
      <c r="F154" s="7"/>
      <c r="G154" s="1"/>
    </row>
    <row r="155" spans="1:7" x14ac:dyDescent="0.3">
      <c r="A155" s="48"/>
      <c r="B155" s="1" t="s">
        <v>156</v>
      </c>
      <c r="C155" s="1"/>
      <c r="D155" s="1">
        <v>1</v>
      </c>
      <c r="E155" s="7">
        <v>1</v>
      </c>
      <c r="F155" s="7"/>
      <c r="G155" s="1"/>
    </row>
    <row r="156" spans="1:7" x14ac:dyDescent="0.3">
      <c r="A156" s="48"/>
      <c r="B156" s="1" t="s">
        <v>157</v>
      </c>
      <c r="C156" s="1"/>
      <c r="D156" s="1">
        <v>1</v>
      </c>
      <c r="E156" s="7">
        <v>1</v>
      </c>
      <c r="F156" s="7"/>
      <c r="G156" s="1"/>
    </row>
    <row r="157" spans="1:7" x14ac:dyDescent="0.3">
      <c r="A157" s="48"/>
      <c r="B157" s="1" t="s">
        <v>158</v>
      </c>
      <c r="C157" s="1"/>
      <c r="D157" s="1">
        <v>1</v>
      </c>
      <c r="E157" s="7">
        <v>1</v>
      </c>
      <c r="F157" s="7"/>
      <c r="G157" s="1"/>
    </row>
    <row r="158" spans="1:7" x14ac:dyDescent="0.3">
      <c r="A158" s="47"/>
      <c r="B158" s="1" t="s">
        <v>159</v>
      </c>
      <c r="C158" s="1"/>
      <c r="D158" s="1">
        <v>1</v>
      </c>
      <c r="E158" s="7">
        <v>1</v>
      </c>
      <c r="F158" s="7"/>
      <c r="G158" s="1"/>
    </row>
    <row r="159" spans="1:7" x14ac:dyDescent="0.3">
      <c r="A159" s="49" t="s">
        <v>160</v>
      </c>
      <c r="B159" s="1" t="s">
        <v>161</v>
      </c>
      <c r="C159" s="1"/>
      <c r="D159" s="1">
        <v>1</v>
      </c>
      <c r="E159" s="7">
        <v>1</v>
      </c>
      <c r="F159" s="7"/>
      <c r="G159" s="1"/>
    </row>
    <row r="160" spans="1:7" x14ac:dyDescent="0.3">
      <c r="A160" s="49"/>
      <c r="B160" s="1" t="s">
        <v>162</v>
      </c>
      <c r="C160" s="1"/>
      <c r="D160" s="1">
        <v>1</v>
      </c>
      <c r="E160" s="7">
        <v>1</v>
      </c>
      <c r="F160" s="7"/>
      <c r="G160" s="1"/>
    </row>
    <row r="161" spans="1:7" x14ac:dyDescent="0.3">
      <c r="A161" s="49"/>
      <c r="B161" s="1" t="s">
        <v>163</v>
      </c>
      <c r="C161" s="1"/>
      <c r="D161" s="1">
        <v>1</v>
      </c>
      <c r="E161" s="7">
        <v>1</v>
      </c>
      <c r="F161" s="7"/>
      <c r="G161" s="1"/>
    </row>
    <row r="162" spans="1:7" x14ac:dyDescent="0.3">
      <c r="A162" s="49"/>
      <c r="B162" s="1" t="s">
        <v>164</v>
      </c>
      <c r="C162" s="1"/>
      <c r="D162" s="1">
        <v>1</v>
      </c>
      <c r="E162" s="7">
        <v>1</v>
      </c>
      <c r="F162" s="7"/>
      <c r="G162" s="1"/>
    </row>
    <row r="163" spans="1:7" x14ac:dyDescent="0.3">
      <c r="A163" s="49"/>
      <c r="B163" s="1" t="s">
        <v>165</v>
      </c>
      <c r="C163" s="1"/>
      <c r="D163" s="1">
        <v>1</v>
      </c>
      <c r="E163" s="7">
        <v>1</v>
      </c>
      <c r="F163" s="7"/>
      <c r="G163" s="1"/>
    </row>
    <row r="164" spans="1:7" x14ac:dyDescent="0.3">
      <c r="A164" s="49"/>
      <c r="B164" s="1" t="s">
        <v>166</v>
      </c>
      <c r="C164" s="1"/>
      <c r="D164" s="1">
        <v>1</v>
      </c>
      <c r="E164" s="7">
        <v>1</v>
      </c>
      <c r="F164" s="7"/>
      <c r="G164" s="1"/>
    </row>
    <row r="165" spans="1:7" x14ac:dyDescent="0.3">
      <c r="A165" s="49"/>
      <c r="B165" s="1" t="s">
        <v>167</v>
      </c>
      <c r="C165" s="1"/>
      <c r="D165" s="1">
        <v>1</v>
      </c>
      <c r="E165" s="1">
        <v>1</v>
      </c>
      <c r="F165" s="1"/>
      <c r="G165" s="1"/>
    </row>
    <row r="166" spans="1:7" x14ac:dyDescent="0.3">
      <c r="D166" s="6">
        <f>SUM(D106:D165)</f>
        <v>60</v>
      </c>
      <c r="E166">
        <f>SUM(E106:E165)</f>
        <v>60</v>
      </c>
    </row>
    <row r="168" spans="1:7" x14ac:dyDescent="0.3">
      <c r="A168" s="6" t="s">
        <v>168</v>
      </c>
    </row>
    <row r="169" spans="1:7" x14ac:dyDescent="0.3">
      <c r="A169" s="46" t="s">
        <v>169</v>
      </c>
      <c r="B169" s="1" t="s">
        <v>170</v>
      </c>
      <c r="C169" s="1"/>
      <c r="D169" s="1">
        <v>1</v>
      </c>
      <c r="E169" s="1">
        <v>1</v>
      </c>
      <c r="F169" s="1"/>
      <c r="G169" s="1"/>
    </row>
    <row r="170" spans="1:7" x14ac:dyDescent="0.3">
      <c r="A170" s="48"/>
      <c r="B170" s="1" t="s">
        <v>171</v>
      </c>
      <c r="C170" s="1"/>
      <c r="D170" s="1">
        <v>1</v>
      </c>
      <c r="E170" s="1">
        <v>1</v>
      </c>
      <c r="F170" s="1"/>
      <c r="G170" s="1"/>
    </row>
    <row r="171" spans="1:7" x14ac:dyDescent="0.3">
      <c r="A171" s="48"/>
      <c r="B171" s="1" t="s">
        <v>172</v>
      </c>
      <c r="C171" s="1"/>
      <c r="D171" s="1">
        <v>1</v>
      </c>
      <c r="E171" s="1">
        <v>1</v>
      </c>
      <c r="F171" s="1"/>
      <c r="G171" s="1"/>
    </row>
    <row r="172" spans="1:7" x14ac:dyDescent="0.3">
      <c r="A172" s="48"/>
      <c r="B172" s="1" t="s">
        <v>173</v>
      </c>
      <c r="C172" s="1"/>
      <c r="D172" s="1">
        <v>1</v>
      </c>
      <c r="E172" s="1">
        <v>1</v>
      </c>
      <c r="F172" s="1"/>
      <c r="G172" s="1"/>
    </row>
    <row r="173" spans="1:7" x14ac:dyDescent="0.3">
      <c r="A173" s="47"/>
      <c r="B173" s="1" t="s">
        <v>174</v>
      </c>
      <c r="C173" s="1"/>
      <c r="D173" s="1">
        <v>1</v>
      </c>
      <c r="E173" s="1">
        <v>1</v>
      </c>
      <c r="F173" s="7"/>
      <c r="G173" s="1"/>
    </row>
    <row r="174" spans="1:7" x14ac:dyDescent="0.3">
      <c r="A174" s="46" t="s">
        <v>175</v>
      </c>
      <c r="B174" s="1" t="s">
        <v>176</v>
      </c>
      <c r="C174" s="1"/>
      <c r="D174" s="1">
        <v>1</v>
      </c>
      <c r="E174" s="1">
        <v>1</v>
      </c>
      <c r="F174" s="7"/>
      <c r="G174" s="1"/>
    </row>
    <row r="175" spans="1:7" x14ac:dyDescent="0.3">
      <c r="A175" s="48"/>
      <c r="B175" s="1" t="s">
        <v>177</v>
      </c>
      <c r="C175" s="1"/>
      <c r="D175" s="1">
        <v>1</v>
      </c>
      <c r="E175" s="1">
        <v>1</v>
      </c>
      <c r="F175" s="7"/>
      <c r="G175" s="1"/>
    </row>
    <row r="176" spans="1:7" x14ac:dyDescent="0.3">
      <c r="A176" s="48"/>
      <c r="B176" s="1" t="s">
        <v>178</v>
      </c>
      <c r="C176" s="1"/>
      <c r="D176" s="1">
        <v>1</v>
      </c>
      <c r="E176" s="1">
        <v>1</v>
      </c>
      <c r="F176" s="7"/>
      <c r="G176" s="1"/>
    </row>
    <row r="177" spans="1:7" x14ac:dyDescent="0.3">
      <c r="A177" s="48"/>
      <c r="B177" s="1" t="s">
        <v>179</v>
      </c>
      <c r="C177" s="1"/>
      <c r="D177" s="1">
        <v>1</v>
      </c>
      <c r="E177" s="1">
        <v>1</v>
      </c>
      <c r="F177" s="7"/>
      <c r="G177" s="1"/>
    </row>
    <row r="178" spans="1:7" x14ac:dyDescent="0.3">
      <c r="A178" s="48"/>
      <c r="B178" s="1" t="s">
        <v>180</v>
      </c>
      <c r="C178" s="1"/>
      <c r="D178" s="1">
        <v>1</v>
      </c>
      <c r="E178" s="1">
        <v>1</v>
      </c>
      <c r="F178" s="7"/>
      <c r="G178" s="1"/>
    </row>
    <row r="179" spans="1:7" x14ac:dyDescent="0.3">
      <c r="A179" s="48"/>
      <c r="B179" s="1" t="s">
        <v>181</v>
      </c>
      <c r="C179" s="1"/>
      <c r="D179" s="1">
        <v>1</v>
      </c>
      <c r="E179" s="1">
        <v>1</v>
      </c>
      <c r="F179" s="7"/>
      <c r="G179" s="1"/>
    </row>
    <row r="180" spans="1:7" x14ac:dyDescent="0.3">
      <c r="A180" s="47"/>
      <c r="B180" s="1" t="s">
        <v>182</v>
      </c>
      <c r="C180" s="1"/>
      <c r="D180" s="1">
        <v>1</v>
      </c>
      <c r="E180" s="1">
        <v>1</v>
      </c>
      <c r="F180" s="7"/>
      <c r="G180" s="1"/>
    </row>
    <row r="181" spans="1:7" x14ac:dyDescent="0.3">
      <c r="A181" s="46" t="s">
        <v>183</v>
      </c>
      <c r="B181" s="1" t="s">
        <v>184</v>
      </c>
      <c r="C181" s="1"/>
      <c r="D181" s="1">
        <v>1</v>
      </c>
      <c r="E181" s="1">
        <v>1</v>
      </c>
      <c r="F181" s="7"/>
      <c r="G181" s="1"/>
    </row>
    <row r="182" spans="1:7" x14ac:dyDescent="0.3">
      <c r="A182" s="48"/>
      <c r="B182" s="1" t="s">
        <v>185</v>
      </c>
      <c r="C182" s="1"/>
      <c r="D182" s="1">
        <v>1</v>
      </c>
      <c r="E182" s="1">
        <v>1</v>
      </c>
      <c r="F182" s="7"/>
      <c r="G182" s="1"/>
    </row>
    <row r="183" spans="1:7" x14ac:dyDescent="0.3">
      <c r="A183" s="48"/>
      <c r="B183" s="1" t="s">
        <v>186</v>
      </c>
      <c r="C183" s="1"/>
      <c r="D183" s="1">
        <v>1</v>
      </c>
      <c r="E183" s="1">
        <v>1</v>
      </c>
      <c r="F183" s="7"/>
      <c r="G183" s="1"/>
    </row>
    <row r="184" spans="1:7" x14ac:dyDescent="0.3">
      <c r="A184" s="48"/>
      <c r="B184" s="1" t="s">
        <v>187</v>
      </c>
      <c r="C184" s="1"/>
      <c r="D184" s="1">
        <v>1</v>
      </c>
      <c r="E184" s="1">
        <v>1</v>
      </c>
      <c r="F184" s="7"/>
      <c r="G184" s="1"/>
    </row>
    <row r="185" spans="1:7" x14ac:dyDescent="0.3">
      <c r="A185" s="48"/>
      <c r="B185" s="1" t="s">
        <v>188</v>
      </c>
      <c r="C185" s="1"/>
      <c r="D185" s="1">
        <v>1</v>
      </c>
      <c r="E185" s="1">
        <v>1</v>
      </c>
      <c r="F185" s="7"/>
      <c r="G185" s="1"/>
    </row>
    <row r="186" spans="1:7" x14ac:dyDescent="0.3">
      <c r="A186" s="48"/>
      <c r="B186" s="1" t="s">
        <v>189</v>
      </c>
      <c r="C186" s="1"/>
      <c r="D186" s="1">
        <v>1</v>
      </c>
      <c r="E186" s="1">
        <v>1</v>
      </c>
      <c r="F186" s="7"/>
      <c r="G186" s="1"/>
    </row>
    <row r="187" spans="1:7" x14ac:dyDescent="0.3">
      <c r="A187" s="47"/>
      <c r="B187" s="1" t="s">
        <v>190</v>
      </c>
      <c r="C187" s="1"/>
      <c r="D187" s="1">
        <v>1</v>
      </c>
      <c r="E187" s="1">
        <v>1</v>
      </c>
      <c r="F187" s="7"/>
      <c r="G187" s="1"/>
    </row>
    <row r="188" spans="1:7" x14ac:dyDescent="0.3">
      <c r="A188" s="46" t="s">
        <v>191</v>
      </c>
      <c r="B188" s="1" t="s">
        <v>192</v>
      </c>
      <c r="C188" s="1"/>
      <c r="D188" s="1">
        <v>1</v>
      </c>
      <c r="E188" s="1">
        <v>1</v>
      </c>
      <c r="F188" s="7"/>
      <c r="G188" s="1"/>
    </row>
    <row r="189" spans="1:7" x14ac:dyDescent="0.3">
      <c r="A189" s="48"/>
      <c r="B189" s="1" t="s">
        <v>193</v>
      </c>
      <c r="C189" s="1"/>
      <c r="D189" s="1">
        <v>1</v>
      </c>
      <c r="E189" s="1">
        <v>1</v>
      </c>
      <c r="F189" s="7"/>
      <c r="G189" s="1"/>
    </row>
    <row r="190" spans="1:7" x14ac:dyDescent="0.3">
      <c r="A190" s="48"/>
      <c r="B190" s="1" t="s">
        <v>193</v>
      </c>
      <c r="C190" s="1"/>
      <c r="D190" s="1">
        <v>1</v>
      </c>
      <c r="E190" s="1">
        <v>1</v>
      </c>
      <c r="F190" s="7"/>
      <c r="G190" s="1"/>
    </row>
    <row r="191" spans="1:7" x14ac:dyDescent="0.3">
      <c r="A191" s="48"/>
      <c r="B191" s="1" t="s">
        <v>194</v>
      </c>
      <c r="C191" s="1"/>
      <c r="D191" s="1">
        <v>1</v>
      </c>
      <c r="E191" s="1">
        <v>1</v>
      </c>
      <c r="F191" s="7"/>
      <c r="G191" s="1"/>
    </row>
    <row r="192" spans="1:7" x14ac:dyDescent="0.3">
      <c r="A192" s="48"/>
      <c r="B192" s="1" t="s">
        <v>195</v>
      </c>
      <c r="C192" s="1"/>
      <c r="D192" s="1">
        <v>1</v>
      </c>
      <c r="E192" s="1">
        <v>1</v>
      </c>
      <c r="F192" s="7"/>
      <c r="G192" s="1"/>
    </row>
    <row r="193" spans="1:7" x14ac:dyDescent="0.3">
      <c r="A193" s="48"/>
      <c r="B193" s="1" t="s">
        <v>196</v>
      </c>
      <c r="C193" s="1"/>
      <c r="D193" s="1">
        <v>1</v>
      </c>
      <c r="E193" s="1">
        <v>1</v>
      </c>
      <c r="F193" s="7"/>
      <c r="G193" s="1"/>
    </row>
    <row r="194" spans="1:7" x14ac:dyDescent="0.3">
      <c r="A194" s="48"/>
      <c r="B194" s="1" t="s">
        <v>197</v>
      </c>
      <c r="C194" s="1"/>
      <c r="D194" s="1">
        <v>1</v>
      </c>
      <c r="E194" s="1">
        <v>1</v>
      </c>
      <c r="F194" s="7"/>
      <c r="G194" s="1"/>
    </row>
    <row r="195" spans="1:7" x14ac:dyDescent="0.3">
      <c r="A195" s="48"/>
      <c r="B195" s="1" t="s">
        <v>198</v>
      </c>
      <c r="C195" s="1"/>
      <c r="D195" s="1">
        <v>1</v>
      </c>
      <c r="E195" s="1">
        <v>1</v>
      </c>
      <c r="F195" s="7"/>
      <c r="G195" s="1"/>
    </row>
    <row r="196" spans="1:7" x14ac:dyDescent="0.3">
      <c r="A196" s="48"/>
      <c r="B196" s="1" t="s">
        <v>199</v>
      </c>
      <c r="C196" s="1"/>
      <c r="D196" s="1">
        <v>1</v>
      </c>
      <c r="E196" s="1">
        <v>1</v>
      </c>
      <c r="F196" s="7"/>
      <c r="G196" s="1"/>
    </row>
    <row r="197" spans="1:7" x14ac:dyDescent="0.3">
      <c r="A197" s="47"/>
      <c r="B197" s="1" t="s">
        <v>200</v>
      </c>
      <c r="C197" s="1"/>
      <c r="D197" s="1">
        <v>1</v>
      </c>
      <c r="E197" s="1">
        <v>1</v>
      </c>
      <c r="F197" s="7"/>
      <c r="G197" s="1"/>
    </row>
    <row r="198" spans="1:7" x14ac:dyDescent="0.3">
      <c r="A198" s="46" t="s">
        <v>201</v>
      </c>
      <c r="B198" s="1" t="s">
        <v>202</v>
      </c>
      <c r="C198" s="1"/>
      <c r="D198" s="1">
        <v>1</v>
      </c>
      <c r="E198" s="1">
        <v>1</v>
      </c>
      <c r="F198" s="7"/>
      <c r="G198" s="1"/>
    </row>
    <row r="199" spans="1:7" x14ac:dyDescent="0.3">
      <c r="A199" s="48"/>
      <c r="B199" s="1" t="s">
        <v>203</v>
      </c>
      <c r="C199" s="1"/>
      <c r="D199" s="1">
        <v>1</v>
      </c>
      <c r="E199" s="1">
        <v>1</v>
      </c>
      <c r="F199" s="7"/>
      <c r="G199" s="1"/>
    </row>
    <row r="200" spans="1:7" x14ac:dyDescent="0.3">
      <c r="A200" s="48"/>
      <c r="B200" s="1" t="s">
        <v>204</v>
      </c>
      <c r="C200" s="1"/>
      <c r="D200" s="1">
        <v>1</v>
      </c>
      <c r="E200" s="1">
        <v>1</v>
      </c>
      <c r="F200" s="7"/>
      <c r="G200" s="1"/>
    </row>
    <row r="201" spans="1:7" x14ac:dyDescent="0.3">
      <c r="A201" s="48"/>
      <c r="B201" s="1" t="s">
        <v>205</v>
      </c>
      <c r="C201" s="1"/>
      <c r="D201" s="1">
        <v>1</v>
      </c>
      <c r="E201" s="1">
        <v>1</v>
      </c>
      <c r="F201" s="7"/>
      <c r="G201" s="1"/>
    </row>
    <row r="202" spans="1:7" x14ac:dyDescent="0.3">
      <c r="A202" s="48"/>
      <c r="B202" s="1" t="s">
        <v>206</v>
      </c>
      <c r="C202" s="1"/>
      <c r="D202" s="1">
        <v>1</v>
      </c>
      <c r="E202" s="1">
        <v>1</v>
      </c>
      <c r="F202" s="7"/>
      <c r="G202" s="1"/>
    </row>
    <row r="203" spans="1:7" x14ac:dyDescent="0.3">
      <c r="A203" s="47"/>
      <c r="B203" s="1" t="s">
        <v>207</v>
      </c>
      <c r="C203" s="1"/>
      <c r="D203" s="1">
        <v>1</v>
      </c>
      <c r="E203" s="1">
        <v>1</v>
      </c>
      <c r="F203" s="7"/>
      <c r="G203" s="1"/>
    </row>
    <row r="204" spans="1:7" x14ac:dyDescent="0.3">
      <c r="A204" s="46" t="s">
        <v>208</v>
      </c>
      <c r="B204" s="1" t="s">
        <v>209</v>
      </c>
      <c r="C204" s="1"/>
      <c r="D204" s="1">
        <v>1</v>
      </c>
      <c r="E204" s="1">
        <v>1</v>
      </c>
      <c r="F204" s="7"/>
      <c r="G204" s="1"/>
    </row>
    <row r="205" spans="1:7" x14ac:dyDescent="0.3">
      <c r="A205" s="48"/>
      <c r="B205" s="1" t="s">
        <v>210</v>
      </c>
      <c r="C205" s="1"/>
      <c r="D205" s="1">
        <v>1</v>
      </c>
      <c r="E205" s="1">
        <v>1</v>
      </c>
      <c r="F205" s="7"/>
      <c r="G205" s="1"/>
    </row>
    <row r="206" spans="1:7" x14ac:dyDescent="0.3">
      <c r="A206" s="48"/>
      <c r="B206" s="1" t="s">
        <v>211</v>
      </c>
      <c r="C206" s="1"/>
      <c r="D206" s="1">
        <v>1</v>
      </c>
      <c r="E206" s="1">
        <v>1</v>
      </c>
      <c r="F206" s="7"/>
      <c r="G206" s="1"/>
    </row>
    <row r="207" spans="1:7" x14ac:dyDescent="0.3">
      <c r="A207" s="48"/>
      <c r="B207" s="1" t="s">
        <v>212</v>
      </c>
      <c r="C207" s="1"/>
      <c r="D207" s="1">
        <v>1</v>
      </c>
      <c r="E207" s="1">
        <v>1</v>
      </c>
      <c r="F207" s="7"/>
      <c r="G207" s="1"/>
    </row>
    <row r="208" spans="1:7" x14ac:dyDescent="0.3">
      <c r="A208" s="48"/>
      <c r="B208" s="1" t="s">
        <v>213</v>
      </c>
      <c r="C208" s="1"/>
      <c r="D208" s="1">
        <v>1</v>
      </c>
      <c r="E208" s="1">
        <v>1</v>
      </c>
      <c r="F208" s="7"/>
      <c r="G208" s="1"/>
    </row>
    <row r="209" spans="1:7" x14ac:dyDescent="0.3">
      <c r="A209" s="47"/>
      <c r="B209" s="1" t="s">
        <v>214</v>
      </c>
      <c r="C209" s="1"/>
      <c r="D209" s="1">
        <v>1</v>
      </c>
      <c r="E209" s="1">
        <v>1</v>
      </c>
      <c r="F209" s="7"/>
      <c r="G209" s="1"/>
    </row>
    <row r="210" spans="1:7" x14ac:dyDescent="0.3">
      <c r="A210" s="46" t="s">
        <v>215</v>
      </c>
      <c r="B210" s="1" t="s">
        <v>216</v>
      </c>
      <c r="C210" s="1"/>
      <c r="D210" s="1">
        <v>1</v>
      </c>
      <c r="E210" s="1">
        <v>1</v>
      </c>
      <c r="F210" s="7"/>
      <c r="G210" s="1"/>
    </row>
    <row r="211" spans="1:7" x14ac:dyDescent="0.3">
      <c r="A211" s="48"/>
      <c r="B211" s="1" t="s">
        <v>217</v>
      </c>
      <c r="C211" s="1"/>
      <c r="D211" s="1">
        <v>1</v>
      </c>
      <c r="E211" s="1">
        <v>1</v>
      </c>
      <c r="F211" s="7"/>
      <c r="G211" s="1"/>
    </row>
    <row r="212" spans="1:7" x14ac:dyDescent="0.3">
      <c r="A212" s="48"/>
      <c r="B212" s="1" t="s">
        <v>218</v>
      </c>
      <c r="C212" s="1"/>
      <c r="D212" s="1">
        <v>1</v>
      </c>
      <c r="E212" s="1">
        <v>1</v>
      </c>
      <c r="F212" s="7"/>
      <c r="G212" s="1"/>
    </row>
    <row r="213" spans="1:7" x14ac:dyDescent="0.3">
      <c r="A213" s="48"/>
      <c r="B213" s="1" t="s">
        <v>219</v>
      </c>
      <c r="C213" s="1"/>
      <c r="D213" s="1">
        <v>1</v>
      </c>
      <c r="E213" s="1">
        <v>1</v>
      </c>
      <c r="F213" s="7"/>
      <c r="G213" s="1"/>
    </row>
    <row r="214" spans="1:7" x14ac:dyDescent="0.3">
      <c r="A214" s="47"/>
      <c r="B214" s="1" t="s">
        <v>220</v>
      </c>
      <c r="C214" s="1"/>
      <c r="D214" s="1">
        <v>1</v>
      </c>
      <c r="E214" s="1">
        <v>1</v>
      </c>
      <c r="F214" s="7"/>
      <c r="G214" s="1"/>
    </row>
    <row r="215" spans="1:7" x14ac:dyDescent="0.3">
      <c r="D215" s="6">
        <f>SUM(D169:D214)</f>
        <v>46</v>
      </c>
      <c r="E215">
        <f>SUM(D215)</f>
        <v>46</v>
      </c>
    </row>
    <row r="218" spans="1:7" x14ac:dyDescent="0.3">
      <c r="A218" s="10" t="s">
        <v>289</v>
      </c>
      <c r="B218" s="9"/>
      <c r="C218" s="9"/>
      <c r="D218" s="10" t="e">
        <f>SUM(D215,D166,D103,#REF!,D70,D62)</f>
        <v>#REF!</v>
      </c>
      <c r="E218" s="10" t="e">
        <f>SUM(E215,E166,E103,#REF!,E70,E62)</f>
        <v>#REF!</v>
      </c>
      <c r="F218" s="9"/>
      <c r="G218" s="9"/>
    </row>
  </sheetData>
  <mergeCells count="29">
    <mergeCell ref="A96:A99"/>
    <mergeCell ref="A3:A11"/>
    <mergeCell ref="A12:A24"/>
    <mergeCell ref="A25:A26"/>
    <mergeCell ref="A27:A34"/>
    <mergeCell ref="A35:A38"/>
    <mergeCell ref="A39:A41"/>
    <mergeCell ref="A42:A55"/>
    <mergeCell ref="A56:A61"/>
    <mergeCell ref="A65:A69"/>
    <mergeCell ref="A93:A95"/>
    <mergeCell ref="A159:A165"/>
    <mergeCell ref="A100:A102"/>
    <mergeCell ref="A106:A110"/>
    <mergeCell ref="A112:A125"/>
    <mergeCell ref="A126:A128"/>
    <mergeCell ref="A129:A134"/>
    <mergeCell ref="A135:A140"/>
    <mergeCell ref="A141:A144"/>
    <mergeCell ref="A145:A148"/>
    <mergeCell ref="A149:A152"/>
    <mergeCell ref="A153:A158"/>
    <mergeCell ref="A210:A214"/>
    <mergeCell ref="A169:A173"/>
    <mergeCell ref="A174:A180"/>
    <mergeCell ref="A181:A187"/>
    <mergeCell ref="A188:A197"/>
    <mergeCell ref="A198:A203"/>
    <mergeCell ref="A204:A209"/>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A9627-1DFB-4445-A515-4D99FA300DFA}">
  <dimension ref="A1:C4"/>
  <sheetViews>
    <sheetView workbookViewId="0">
      <selection activeCell="B24" sqref="B24"/>
    </sheetView>
  </sheetViews>
  <sheetFormatPr defaultRowHeight="16.5" x14ac:dyDescent="0.3"/>
  <cols>
    <col min="1" max="1" width="25.375" customWidth="1"/>
    <col min="2" max="2" width="49.375" customWidth="1"/>
    <col min="3" max="3" width="40.25" customWidth="1"/>
  </cols>
  <sheetData>
    <row r="1" spans="1:3" x14ac:dyDescent="0.3">
      <c r="A1" s="3" t="s">
        <v>4</v>
      </c>
      <c r="B1" s="3" t="s">
        <v>5</v>
      </c>
      <c r="C1" s="8" t="s">
        <v>286</v>
      </c>
    </row>
    <row r="2" spans="1:3" ht="99" x14ac:dyDescent="0.3">
      <c r="A2" s="1" t="s">
        <v>1</v>
      </c>
      <c r="B2" s="2" t="s">
        <v>0</v>
      </c>
      <c r="C2" s="2" t="s">
        <v>288</v>
      </c>
    </row>
    <row r="3" spans="1:3" s="15" customFormat="1" ht="99" x14ac:dyDescent="0.3">
      <c r="A3" s="13" t="s">
        <v>2</v>
      </c>
      <c r="B3" s="14" t="s">
        <v>0</v>
      </c>
      <c r="C3" s="14" t="s">
        <v>287</v>
      </c>
    </row>
    <row r="4" spans="1:3" ht="33" x14ac:dyDescent="0.3">
      <c r="A4" s="1" t="s">
        <v>3</v>
      </c>
      <c r="B4" s="2" t="s">
        <v>6</v>
      </c>
      <c r="C4" s="2" t="s">
        <v>287</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C3F86-2BF0-4239-9302-4DCC23459FF3}">
  <dimension ref="A1:G11"/>
  <sheetViews>
    <sheetView zoomScale="130" zoomScaleNormal="130" workbookViewId="0">
      <selection activeCell="C12" sqref="C12"/>
    </sheetView>
  </sheetViews>
  <sheetFormatPr defaultRowHeight="16.5" x14ac:dyDescent="0.3"/>
  <cols>
    <col min="1" max="1" width="18.875" customWidth="1"/>
    <col min="2" max="2" width="23.5" bestFit="1" customWidth="1"/>
    <col min="3" max="3" width="13.75" bestFit="1" customWidth="1"/>
    <col min="4" max="4" width="55.25" customWidth="1"/>
    <col min="5" max="5" width="12.625" customWidth="1"/>
    <col min="6" max="6" width="8.5" bestFit="1" customWidth="1"/>
  </cols>
  <sheetData>
    <row r="1" spans="1:7" x14ac:dyDescent="0.3">
      <c r="A1" s="6" t="s">
        <v>73</v>
      </c>
    </row>
    <row r="2" spans="1:7" x14ac:dyDescent="0.3">
      <c r="A2" s="3" t="s">
        <v>7</v>
      </c>
      <c r="B2" s="3"/>
      <c r="C2" s="3"/>
      <c r="D2" s="3"/>
      <c r="E2" s="3"/>
      <c r="F2" s="3"/>
      <c r="G2" s="3"/>
    </row>
    <row r="3" spans="1:7" ht="99" x14ac:dyDescent="0.3">
      <c r="A3" s="50" t="s">
        <v>372</v>
      </c>
      <c r="B3" s="1" t="s">
        <v>373</v>
      </c>
      <c r="C3" s="1" t="s">
        <v>374</v>
      </c>
      <c r="D3" s="22" t="s">
        <v>375</v>
      </c>
      <c r="E3" s="1"/>
      <c r="F3" s="1"/>
      <c r="G3" s="1"/>
    </row>
    <row r="4" spans="1:7" x14ac:dyDescent="0.3">
      <c r="A4" s="48"/>
      <c r="B4" s="1"/>
      <c r="C4" s="1"/>
      <c r="D4" s="1"/>
      <c r="E4" s="1"/>
      <c r="F4" s="1"/>
      <c r="G4" s="1"/>
    </row>
    <row r="5" spans="1:7" x14ac:dyDescent="0.3">
      <c r="A5" s="48"/>
      <c r="B5" s="1"/>
      <c r="C5" s="1"/>
      <c r="D5" s="1"/>
      <c r="E5" s="1"/>
      <c r="F5" s="1"/>
      <c r="G5" s="1"/>
    </row>
    <row r="6" spans="1:7" x14ac:dyDescent="0.3">
      <c r="A6" s="48"/>
      <c r="B6" s="1"/>
      <c r="C6" s="1"/>
      <c r="D6" s="1"/>
      <c r="E6" s="1"/>
      <c r="F6" s="1"/>
      <c r="G6" s="1"/>
    </row>
    <row r="7" spans="1:7" x14ac:dyDescent="0.3">
      <c r="A7" s="48"/>
      <c r="B7" s="1"/>
      <c r="C7" s="1"/>
      <c r="D7" s="1"/>
      <c r="E7" s="1"/>
      <c r="F7" s="1"/>
      <c r="G7" s="1"/>
    </row>
    <row r="8" spans="1:7" x14ac:dyDescent="0.3">
      <c r="A8" s="48"/>
      <c r="B8" s="1"/>
      <c r="C8" s="1"/>
      <c r="D8" s="1"/>
      <c r="E8" s="1"/>
      <c r="F8" s="1"/>
      <c r="G8" s="1"/>
    </row>
    <row r="9" spans="1:7" x14ac:dyDescent="0.3">
      <c r="A9" s="48"/>
      <c r="B9" s="1"/>
      <c r="C9" s="1"/>
      <c r="D9" s="1"/>
      <c r="E9" s="1"/>
      <c r="F9" s="1"/>
      <c r="G9" s="1"/>
    </row>
    <row r="10" spans="1:7" x14ac:dyDescent="0.3">
      <c r="A10" s="48"/>
      <c r="B10" s="1"/>
      <c r="C10" s="1"/>
      <c r="D10" s="1"/>
      <c r="E10" s="1"/>
      <c r="F10" s="1"/>
      <c r="G10" s="1"/>
    </row>
    <row r="11" spans="1:7" x14ac:dyDescent="0.3">
      <c r="A11" s="47"/>
      <c r="B11" s="1"/>
      <c r="C11" s="1"/>
      <c r="D11" s="1"/>
      <c r="E11" s="1"/>
      <c r="F11" s="1"/>
      <c r="G11" s="1"/>
    </row>
  </sheetData>
  <mergeCells count="1">
    <mergeCell ref="A3:A11"/>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C8203-E309-4193-9127-BB48E90ABAC8}">
  <dimension ref="A1:D14"/>
  <sheetViews>
    <sheetView workbookViewId="0">
      <selection activeCell="D14" sqref="D14"/>
    </sheetView>
  </sheetViews>
  <sheetFormatPr defaultRowHeight="16.5" x14ac:dyDescent="0.3"/>
  <cols>
    <col min="1" max="1" width="4.375" bestFit="1" customWidth="1"/>
    <col min="2" max="2" width="30.25" bestFit="1" customWidth="1"/>
    <col min="3" max="3" width="30.5" customWidth="1"/>
    <col min="4" max="4" width="28.5" customWidth="1"/>
  </cols>
  <sheetData>
    <row r="1" spans="1:4" x14ac:dyDescent="0.3">
      <c r="A1" s="3" t="s">
        <v>294</v>
      </c>
      <c r="B1" s="3" t="s">
        <v>295</v>
      </c>
      <c r="C1" s="3" t="s">
        <v>296</v>
      </c>
      <c r="D1" s="3" t="s">
        <v>297</v>
      </c>
    </row>
    <row r="2" spans="1:4" x14ac:dyDescent="0.3">
      <c r="A2" s="4">
        <v>1</v>
      </c>
      <c r="B2" s="1" t="s">
        <v>291</v>
      </c>
      <c r="C2" s="1" t="s">
        <v>290</v>
      </c>
      <c r="D2" s="1" t="s">
        <v>298</v>
      </c>
    </row>
    <row r="3" spans="1:4" x14ac:dyDescent="0.3">
      <c r="A3" s="4">
        <v>2</v>
      </c>
      <c r="B3" s="1" t="s">
        <v>292</v>
      </c>
      <c r="C3" s="1" t="s">
        <v>293</v>
      </c>
      <c r="D3" s="1" t="s">
        <v>298</v>
      </c>
    </row>
    <row r="4" spans="1:4" x14ac:dyDescent="0.3">
      <c r="A4" s="4">
        <v>3</v>
      </c>
      <c r="B4" s="1" t="s">
        <v>299</v>
      </c>
      <c r="C4" s="1"/>
      <c r="D4" s="1" t="s">
        <v>300</v>
      </c>
    </row>
    <row r="5" spans="1:4" x14ac:dyDescent="0.3">
      <c r="A5" s="4">
        <v>4</v>
      </c>
      <c r="B5" s="1" t="s">
        <v>301</v>
      </c>
      <c r="C5" s="1"/>
      <c r="D5" s="1" t="s">
        <v>302</v>
      </c>
    </row>
    <row r="6" spans="1:4" x14ac:dyDescent="0.3">
      <c r="A6" s="4">
        <v>5</v>
      </c>
      <c r="B6" s="1" t="s">
        <v>303</v>
      </c>
      <c r="C6" s="1" t="s">
        <v>304</v>
      </c>
      <c r="D6" s="1" t="s">
        <v>305</v>
      </c>
    </row>
    <row r="7" spans="1:4" x14ac:dyDescent="0.3">
      <c r="A7" s="4">
        <v>6</v>
      </c>
      <c r="B7" s="1" t="s">
        <v>311</v>
      </c>
      <c r="C7" s="1" t="s">
        <v>310</v>
      </c>
      <c r="D7" s="1" t="s">
        <v>312</v>
      </c>
    </row>
    <row r="8" spans="1:4" x14ac:dyDescent="0.3">
      <c r="A8" s="4">
        <v>7</v>
      </c>
      <c r="B8" s="1" t="s">
        <v>324</v>
      </c>
      <c r="C8" s="1"/>
      <c r="D8" s="1"/>
    </row>
    <row r="9" spans="1:4" x14ac:dyDescent="0.3">
      <c r="A9" s="4"/>
      <c r="B9" s="1"/>
      <c r="C9" s="1"/>
      <c r="D9" s="1"/>
    </row>
    <row r="10" spans="1:4" x14ac:dyDescent="0.3">
      <c r="A10" s="4"/>
      <c r="B10" s="1"/>
      <c r="C10" s="1"/>
      <c r="D10" s="1"/>
    </row>
    <row r="11" spans="1:4" x14ac:dyDescent="0.3">
      <c r="A11" s="4"/>
      <c r="B11" s="1"/>
      <c r="C11" s="1"/>
      <c r="D11" s="1"/>
    </row>
    <row r="12" spans="1:4" x14ac:dyDescent="0.3">
      <c r="A12" s="4"/>
      <c r="B12" s="1"/>
      <c r="C12" s="1"/>
      <c r="D12" s="1"/>
    </row>
    <row r="13" spans="1:4" x14ac:dyDescent="0.3">
      <c r="A13" s="4"/>
      <c r="B13" s="1"/>
      <c r="C13" s="1"/>
      <c r="D13" s="1"/>
    </row>
    <row r="14" spans="1:4" x14ac:dyDescent="0.3">
      <c r="A14" s="4"/>
      <c r="B14" s="1"/>
      <c r="C14" s="1"/>
      <c r="D14" s="1"/>
    </row>
  </sheetData>
  <phoneticPr fontId="1" type="noConversion"/>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72D21-BCE9-4FF0-A4F2-AB86251277FD}">
  <dimension ref="A1:E13"/>
  <sheetViews>
    <sheetView workbookViewId="0">
      <selection activeCell="D4" sqref="D4"/>
    </sheetView>
  </sheetViews>
  <sheetFormatPr defaultRowHeight="16.5" x14ac:dyDescent="0.3"/>
  <cols>
    <col min="2" max="2" width="27.25" customWidth="1"/>
    <col min="3" max="3" width="34.625" customWidth="1"/>
    <col min="4" max="4" width="23.25" bestFit="1" customWidth="1"/>
    <col min="5" max="5" width="15.125" customWidth="1"/>
  </cols>
  <sheetData>
    <row r="1" spans="1:5" x14ac:dyDescent="0.3">
      <c r="A1" s="3" t="s">
        <v>295</v>
      </c>
      <c r="B1" s="3" t="s">
        <v>308</v>
      </c>
      <c r="C1" s="3" t="s">
        <v>297</v>
      </c>
      <c r="D1" s="12" t="s">
        <v>322</v>
      </c>
      <c r="E1" s="12" t="s">
        <v>323</v>
      </c>
    </row>
    <row r="2" spans="1:5" x14ac:dyDescent="0.3">
      <c r="A2" s="11" t="s">
        <v>306</v>
      </c>
      <c r="B2" s="1" t="s">
        <v>313</v>
      </c>
      <c r="C2" s="1" t="s">
        <v>317</v>
      </c>
      <c r="D2" s="1">
        <v>3</v>
      </c>
      <c r="E2" s="1"/>
    </row>
    <row r="3" spans="1:5" x14ac:dyDescent="0.3">
      <c r="A3" s="1"/>
      <c r="B3" s="1" t="s">
        <v>314</v>
      </c>
      <c r="C3" s="1"/>
      <c r="D3" s="1">
        <v>7</v>
      </c>
      <c r="E3" s="1"/>
    </row>
    <row r="4" spans="1:5" ht="33" x14ac:dyDescent="0.3">
      <c r="A4" s="1"/>
      <c r="B4" s="1" t="s">
        <v>316</v>
      </c>
      <c r="C4" s="2" t="s">
        <v>309</v>
      </c>
      <c r="D4" s="1">
        <v>50</v>
      </c>
      <c r="E4" s="1"/>
    </row>
    <row r="5" spans="1:5" x14ac:dyDescent="0.3">
      <c r="A5" s="1"/>
      <c r="B5" s="1" t="s">
        <v>315</v>
      </c>
      <c r="C5" s="1"/>
      <c r="D5" s="1">
        <v>3</v>
      </c>
      <c r="E5" s="1"/>
    </row>
    <row r="6" spans="1:5" x14ac:dyDescent="0.3">
      <c r="A6" s="1"/>
      <c r="B6" s="1" t="s">
        <v>318</v>
      </c>
      <c r="C6" s="1"/>
      <c r="D6" s="1">
        <v>10</v>
      </c>
      <c r="E6" s="1"/>
    </row>
    <row r="7" spans="1:5" x14ac:dyDescent="0.3">
      <c r="A7" s="1"/>
      <c r="B7" s="1" t="s">
        <v>319</v>
      </c>
      <c r="C7" s="1"/>
      <c r="D7" s="1">
        <v>20</v>
      </c>
      <c r="E7" s="1"/>
    </row>
    <row r="8" spans="1:5" x14ac:dyDescent="0.3">
      <c r="A8" s="1"/>
      <c r="B8" s="1"/>
      <c r="C8" s="1"/>
      <c r="D8" s="1"/>
      <c r="E8" s="11">
        <f>SUM(D2:D8)</f>
        <v>93</v>
      </c>
    </row>
    <row r="9" spans="1:5" x14ac:dyDescent="0.3">
      <c r="A9" s="11" t="s">
        <v>307</v>
      </c>
      <c r="B9" s="1" t="s">
        <v>320</v>
      </c>
      <c r="C9" s="1"/>
      <c r="D9" s="1">
        <v>50</v>
      </c>
      <c r="E9" s="1"/>
    </row>
    <row r="10" spans="1:5" x14ac:dyDescent="0.3">
      <c r="A10" s="1"/>
      <c r="B10" s="1" t="s">
        <v>311</v>
      </c>
      <c r="C10" s="1"/>
      <c r="D10" s="1">
        <v>50</v>
      </c>
      <c r="E10" s="1"/>
    </row>
    <row r="11" spans="1:5" x14ac:dyDescent="0.3">
      <c r="A11" s="1"/>
      <c r="B11" s="1" t="s">
        <v>318</v>
      </c>
      <c r="C11" s="1" t="s">
        <v>321</v>
      </c>
      <c r="D11" s="1">
        <v>20</v>
      </c>
      <c r="E11" s="1"/>
    </row>
    <row r="12" spans="1:5" x14ac:dyDescent="0.3">
      <c r="A12" s="1"/>
      <c r="B12" s="1" t="s">
        <v>319</v>
      </c>
      <c r="C12" s="1"/>
      <c r="D12" s="1">
        <v>20</v>
      </c>
      <c r="E12" s="1"/>
    </row>
    <row r="13" spans="1:5" x14ac:dyDescent="0.3">
      <c r="A13" s="1"/>
      <c r="B13" s="1"/>
      <c r="C13" s="1"/>
      <c r="D13" s="1"/>
      <c r="E13" s="11">
        <f>SUM(D9:D13)</f>
        <v>140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12</vt:i4>
      </vt:variant>
      <vt:variant>
        <vt:lpstr>이름 지정된 범위</vt:lpstr>
      </vt:variant>
      <vt:variant>
        <vt:i4>3</vt:i4>
      </vt:variant>
    </vt:vector>
  </HeadingPairs>
  <TitlesOfParts>
    <vt:vector size="15" baseType="lpstr">
      <vt:lpstr>1안</vt:lpstr>
      <vt:lpstr>2안</vt:lpstr>
      <vt:lpstr>3안</vt:lpstr>
      <vt:lpstr>기존_MES_화면목록(1안)</vt:lpstr>
      <vt:lpstr>기존_MES_화면목록(2안)</vt:lpstr>
      <vt:lpstr>개발환경및설정</vt:lpstr>
      <vt:lpstr>기존_MES_화면목록_임시</vt:lpstr>
      <vt:lpstr>기존_MES_타입1_2</vt:lpstr>
      <vt:lpstr>기존_MES_개발환경</vt:lpstr>
      <vt:lpstr>기존_MES_타입1_2_현장</vt:lpstr>
      <vt:lpstr>개발 구매</vt:lpstr>
      <vt:lpstr>개발일정</vt:lpstr>
      <vt:lpstr>'1안'!Print_Area</vt:lpstr>
      <vt:lpstr>'2안'!Print_Area</vt:lpstr>
      <vt:lpstr>'3안'!Print_Area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 Yoo</dc:creator>
  <cp:lastModifiedBy>NAMSU KIM</cp:lastModifiedBy>
  <cp:lastPrinted>2024-12-02T05:27:55Z</cp:lastPrinted>
  <dcterms:created xsi:type="dcterms:W3CDTF">2024-11-27T06:17:53Z</dcterms:created>
  <dcterms:modified xsi:type="dcterms:W3CDTF">2024-12-06T07:39:19Z</dcterms:modified>
</cp:coreProperties>
</file>